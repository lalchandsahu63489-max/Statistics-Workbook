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ink/ink1.xml" ContentType="application/inkml+xml"/>
  <Override PartName="/xl/ink/ink2.xml" ContentType="application/inkml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ul\OneDrive\Data Analyst\Stats\"/>
    </mc:Choice>
  </mc:AlternateContent>
  <xr:revisionPtr revIDLastSave="0" documentId="13_ncr:1_{28911411-0316-4E60-8C7C-F9B845BF16E8}" xr6:coauthVersionLast="47" xr6:coauthVersionMax="47" xr10:uidLastSave="{00000000-0000-0000-0000-000000000000}"/>
  <bookViews>
    <workbookView xWindow="-110" yWindow="-110" windowWidth="19420" windowHeight="11020" activeTab="2" xr2:uid="{18010E3F-4904-47EF-8BC9-FDCE39A002F2}"/>
  </bookViews>
  <sheets>
    <sheet name="Mean " sheetId="1" r:id="rId1"/>
    <sheet name="Median" sheetId="2" r:id="rId2"/>
    <sheet name="Mode" sheetId="3" r:id="rId3"/>
  </sheets>
  <definedNames>
    <definedName name="_xlchart.v1.0" hidden="1">'Mean '!$B$77</definedName>
    <definedName name="_xlchart.v1.1" hidden="1">'Mean '!$C$76:$G$76</definedName>
    <definedName name="_xlchart.v1.2" hidden="1">'Mean '!$C$77:$G$77</definedName>
    <definedName name="_xlchart.v1.3" hidden="1">Median!$C$80:$G$80</definedName>
    <definedName name="_xlchart.v1.4" hidden="1">Median!$C$81:$G$81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1" i="3" l="1"/>
  <c r="I87" i="3"/>
  <c r="G12" i="3"/>
  <c r="F86" i="2"/>
  <c r="F87" i="2" s="1"/>
  <c r="F88" i="2" s="1"/>
  <c r="F89" i="2" s="1"/>
  <c r="F90" i="2" s="1"/>
  <c r="L85" i="2" s="1"/>
  <c r="L86" i="2" s="1"/>
  <c r="L91" i="2" s="1"/>
  <c r="D45" i="2"/>
  <c r="D46" i="2" s="1"/>
  <c r="D47" i="2" s="1"/>
  <c r="D48" i="2" s="1"/>
  <c r="G12" i="2"/>
  <c r="F82" i="1"/>
  <c r="F13" i="1"/>
  <c r="N2" i="1" s="1"/>
  <c r="J82" i="1"/>
  <c r="F83" i="1"/>
  <c r="G83" i="1" s="1"/>
  <c r="F84" i="1"/>
  <c r="G84" i="1" s="1"/>
  <c r="F85" i="1"/>
  <c r="G85" i="1" s="1"/>
  <c r="F86" i="1"/>
  <c r="G86" i="1" s="1"/>
  <c r="G82" i="1"/>
  <c r="J44" i="1"/>
  <c r="J43" i="1"/>
  <c r="D45" i="1"/>
  <c r="D46" i="1"/>
  <c r="D47" i="1"/>
  <c r="D48" i="1"/>
  <c r="D44" i="1"/>
  <c r="D49" i="2" l="1"/>
  <c r="J45" i="2" s="1"/>
  <c r="J81" i="1"/>
  <c r="J84" i="1" s="1"/>
  <c r="J45" i="1"/>
  <c r="J47" i="1" s="1"/>
</calcChain>
</file>

<file path=xl/sharedStrings.xml><?xml version="1.0" encoding="utf-8"?>
<sst xmlns="http://schemas.openxmlformats.org/spreadsheetml/2006/main" count="156" uniqueCount="100">
  <si>
    <t>Business Practice Question Using Mean</t>
  </si>
  <si>
    <t>Day</t>
  </si>
  <si>
    <t>Orders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</si>
  <si>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</si>
  <si>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</si>
  <si>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</si>
  <si>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</si>
  <si>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</si>
  <si>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</si>
  <si>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</si>
  <si>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</si>
  <si>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</si>
  <si>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</si>
  <si>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Mean(Avg)  of Daily orders</t>
  </si>
  <si>
    <t xml:space="preserve">1. An e-commerce company recorded the following number of orders over the last 10 days  .                 </t>
  </si>
  <si>
    <t>2. An Online retailer collected Customer rating for a newly launched product .</t>
  </si>
  <si>
    <t>Rating</t>
  </si>
  <si>
    <t>No. of Customer</t>
  </si>
  <si>
    <t>Rating(x)</t>
  </si>
  <si>
    <t>No. of Customer(f)</t>
  </si>
  <si>
    <t>fx</t>
  </si>
  <si>
    <t xml:space="preserve">∑f = </t>
  </si>
  <si>
    <t xml:space="preserve">∑fx = </t>
  </si>
  <si>
    <t xml:space="preserve">Calculate the Mean Customer Rating = </t>
  </si>
  <si>
    <t xml:space="preserve">Mean(avg) of Customer Rating = </t>
  </si>
  <si>
    <t>Customer Satisfaction is avg</t>
  </si>
  <si>
    <t>3. The HR department categorized employees based ont their monthly salary</t>
  </si>
  <si>
    <t>Monthly Salary</t>
  </si>
  <si>
    <t>No. of employee</t>
  </si>
  <si>
    <t>20000-30000</t>
  </si>
  <si>
    <t>30000-40000</t>
  </si>
  <si>
    <t>40000-50000</t>
  </si>
  <si>
    <t>50000-60000</t>
  </si>
  <si>
    <t>60000-700000</t>
  </si>
  <si>
    <t>Lower limit</t>
  </si>
  <si>
    <t>Upper limit</t>
  </si>
  <si>
    <t>Mid(x)</t>
  </si>
  <si>
    <t>No. of employee(f)</t>
  </si>
  <si>
    <t>∑fx =</t>
  </si>
  <si>
    <t>∑f   =</t>
  </si>
  <si>
    <t>T</t>
  </si>
  <si>
    <t>What is the average number of orders received per day ?</t>
  </si>
  <si>
    <t>Is the business consitenly receiving a healthy numbers of daily orders ?</t>
  </si>
  <si>
    <t>This avg can help the operation team estimate staffing, inventory, and delivery capacity.</t>
  </si>
  <si>
    <t>The avg daily orders can aslo be used as a benchmark to compare future peformance.</t>
  </si>
  <si>
    <t>Yes</t>
  </si>
  <si>
    <t>Customers are generally satisfied with the Product.</t>
  </si>
  <si>
    <t>Most customers gave positive ratings.</t>
  </si>
  <si>
    <t>Avg</t>
  </si>
  <si>
    <t>The Product is performing well</t>
  </si>
  <si>
    <t>What is avg salary monthly salary of employees /</t>
  </si>
  <si>
    <t>This helps HR understand the company's avg payroll level</t>
  </si>
  <si>
    <t>The avg salry can be used for budgeting , compensation planning and salary benchmarking.</t>
  </si>
  <si>
    <t>Daily Orders remainded relatively stable, with a noticeable increase around Days 8</t>
  </si>
  <si>
    <t>Most customers rated the product 4 or 5 stars, indicating high customer satisfaction.</t>
  </si>
  <si>
    <t>The majority of employees fall withing the 40000 - 50000 Salary range.</t>
  </si>
  <si>
    <t>Business Practice Question Using Median</t>
  </si>
  <si>
    <t xml:space="preserve">1. An e-commerce company recorded  the delivery time ( in days ) for the last 11 orders  .                 </t>
  </si>
  <si>
    <t>Order</t>
  </si>
  <si>
    <t>Delivery Time(days)</t>
  </si>
  <si>
    <t>Median Delivery Time =</t>
  </si>
  <si>
    <r>
      <t xml:space="preserve">2. A </t>
    </r>
    <r>
      <rPr>
        <sz val="12"/>
        <color theme="1"/>
        <rFont val="Calibri"/>
        <family val="2"/>
        <scheme val="minor"/>
      </rPr>
      <t>retail store recorded customer waiting times.</t>
    </r>
  </si>
  <si>
    <t>Waiting Times (minutes)</t>
  </si>
  <si>
    <t>CF</t>
  </si>
  <si>
    <t xml:space="preserve">Calculate Cumulative Frequency(CF) = </t>
  </si>
  <si>
    <t xml:space="preserve">Find N/2  = </t>
  </si>
  <si>
    <t xml:space="preserve">Identify the median Class = </t>
  </si>
  <si>
    <t>Waiting Time =</t>
  </si>
  <si>
    <t>The Median Customer waiting time is 6 mintues</t>
  </si>
  <si>
    <t>This means 50% of customer waited 6 minutes or less the remainign 50% or more</t>
  </si>
  <si>
    <t xml:space="preserve">The store can user this information to improve service efficency and reduce customer waiting time </t>
  </si>
  <si>
    <t>3. The HR department grouped employees based on monthly salary.</t>
  </si>
  <si>
    <t>Find N/2 =</t>
  </si>
  <si>
    <t>f =</t>
  </si>
  <si>
    <t>h =</t>
  </si>
  <si>
    <t>L =</t>
  </si>
  <si>
    <t>cf =</t>
  </si>
  <si>
    <t>Calculate The cumulative Frequency(N) =</t>
  </si>
  <si>
    <t>The median monthly salary is approximately</t>
  </si>
  <si>
    <t>The median monthly salary is approximately 43888.89</t>
  </si>
  <si>
    <t>Around to 50% of employees earn less then 433889 and 50% earn more</t>
  </si>
  <si>
    <t>HR can use the median salary because it is less affected by extremely high or low salries than the mean</t>
  </si>
  <si>
    <t>The median delivery time is 3 days</t>
  </si>
  <si>
    <t>this means 50% of orders were deliverd within 3 days while the remaining 50% took 3 days or more</t>
  </si>
  <si>
    <t>The medain is realible measure of delivery performance slow or unusually fast deliveries.</t>
  </si>
  <si>
    <t>Business Practice Question Using Mode</t>
  </si>
  <si>
    <t xml:space="preserve">1. An e-commerce company recorded  the number of units sold for a product over 12 days  .                 </t>
  </si>
  <si>
    <t>Mode of 12 days  =</t>
  </si>
  <si>
    <t>The most common daily sales volume is 30 units</t>
  </si>
  <si>
    <t>This helps estimate typical deman.d for inventory planning .</t>
  </si>
  <si>
    <t>2. Customer Ratings</t>
  </si>
  <si>
    <t>Rating (x)</t>
  </si>
  <si>
    <t>No. of  Customer</t>
  </si>
  <si>
    <t>Mode of Customer Ratings =</t>
  </si>
  <si>
    <t>Most Customers rated the product 4 stars</t>
  </si>
  <si>
    <t>This indicates generally positive customer satisfaction</t>
  </si>
  <si>
    <t>f0 =</t>
  </si>
  <si>
    <t>f1 =</t>
  </si>
  <si>
    <t>f2 =</t>
  </si>
  <si>
    <t>Mode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</si>
</sst>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Matura MT Script Capitals"/>
      <family val="4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6" fillId="0" borderId="0" xfId="0" applyFont="1"/>
    <xf numFmtId="49" fontId="0" fillId="0" borderId="1" xfId="0" applyNumberFormat="1" applyBorder="1"/>
    <xf numFmtId="0" fontId="0" fillId="4" borderId="0" xfId="0" applyFill="1"/>
    <xf numFmtId="0" fontId="0" fillId="5" borderId="1" xfId="0" applyFill="1" applyBorder="1"/>
    <xf numFmtId="0" fontId="0" fillId="5" borderId="0" xfId="0" applyFill="1"/>
    <xf numFmtId="0" fontId="0" fillId="4" borderId="1" xfId="0" applyFill="1" applyBorder="1"/>
    <xf numFmtId="0" fontId="0" fillId="0" borderId="0" xfId="0" applyAlignment="1">
      <alignment horizontal="right"/>
    </xf>
    <xf numFmtId="0" fontId="0" fillId="3" borderId="0" xfId="0" applyFill="1" applyAlignment="1">
      <alignment horizontal="left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E-commerce</a:t>
            </a:r>
            <a:r>
              <a:rPr lang="en-US" sz="1600" b="1" baseline="0"/>
              <a:t> Daily orders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'Mean '!$B$9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'Mean '!$C$8:$L$8</c:f>
              <c:strCache>
                <c:ptCount val="1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</c:strCache>
            </c:strRef>
          </c:cat>
          <c:val>
            <c:numRef>
              <c:f>'Mean '!$C$9:$L$9</c:f>
              <c:numCache>
                <c:formatCode>General</c:formatCode>
                <c:ptCount val="10"/>
                <c:pt idx="0">
                  <c:v>120</c:v>
                </c:pt>
                <c:pt idx="1">
                  <c:v>135</c:v>
                </c:pt>
                <c:pt idx="2">
                  <c:v>128</c:v>
                </c:pt>
                <c:pt idx="3">
                  <c:v>145</c:v>
                </c:pt>
                <c:pt idx="4">
                  <c:v>150</c:v>
                </c:pt>
                <c:pt idx="5">
                  <c:v>165</c:v>
                </c:pt>
                <c:pt idx="6">
                  <c:v>158</c:v>
                </c:pt>
                <c:pt idx="7">
                  <c:v>172</c:v>
                </c:pt>
                <c:pt idx="8">
                  <c:v>160</c:v>
                </c:pt>
                <c:pt idx="9">
                  <c:v>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BA-484D-B08A-9F38D3F03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8594432"/>
        <c:axId val="1953024624"/>
      </c:lineChart>
      <c:catAx>
        <c:axId val="194859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024624"/>
        <c:crosses val="autoZero"/>
        <c:auto val="1"/>
        <c:lblAlgn val="ctr"/>
        <c:lblOffset val="100"/>
        <c:noMultiLvlLbl val="0"/>
      </c:catAx>
      <c:valAx>
        <c:axId val="1953024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59443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Customers</a:t>
            </a:r>
            <a:r>
              <a:rPr lang="en-US" sz="1600" b="1" baseline="0"/>
              <a:t>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'Mean '!$B$39</c:f>
              <c:strCache>
                <c:ptCount val="1"/>
                <c:pt idx="0">
                  <c:v>No. of Customer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95D-4268-B287-D561729972AB}"/>
              </c:ext>
            </c:extLst>
          </c:dPt>
          <c:cat>
            <c:numRef>
              <c:f>'Mean '!$C$38:$G$38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cat>
          <c:val>
            <c:numRef>
              <c:f>'Mean '!$C$39:$G$39</c:f>
              <c:numCache>
                <c:formatCode>General</c:formatCode>
                <c:ptCount val="5"/>
                <c:pt idx="0">
                  <c:v>75</c:v>
                </c:pt>
                <c:pt idx="1">
                  <c:v>60</c:v>
                </c:pt>
                <c:pt idx="2">
                  <c:v>42</c:v>
                </c:pt>
                <c:pt idx="3">
                  <c:v>15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D-4268-B287-D56172997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7310272"/>
        <c:axId val="1953019344"/>
      </c:barChart>
      <c:catAx>
        <c:axId val="35731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019344"/>
        <c:crosses val="autoZero"/>
        <c:auto val="1"/>
        <c:lblAlgn val="ctr"/>
        <c:lblOffset val="100"/>
        <c:noMultiLvlLbl val="0"/>
      </c:catAx>
      <c:valAx>
        <c:axId val="1953019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31027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37817513879822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469816272965881E-2"/>
          <c:y val="0.17171296296296298"/>
          <c:w val="0.9155301837270341"/>
          <c:h val="0.61498432487605714"/>
        </c:manualLayout>
      </c:layout>
      <c:lineChart>
        <c:grouping val="standard"/>
        <c:varyColors val="0"/>
        <c:ser>
          <c:idx val="1"/>
          <c:order val="0"/>
          <c:tx>
            <c:strRef>
              <c:f>Median!$B$9</c:f>
              <c:strCache>
                <c:ptCount val="1"/>
                <c:pt idx="0">
                  <c:v>Delivery Time(days)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Median!$C$9:$M$9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E5-4BF1-8048-9006AB613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0382463"/>
        <c:axId val="1846492431"/>
      </c:lineChart>
      <c:catAx>
        <c:axId val="1650382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492431"/>
        <c:crosses val="autoZero"/>
        <c:auto val="1"/>
        <c:lblAlgn val="ctr"/>
        <c:lblOffset val="100"/>
        <c:noMultiLvlLbl val="0"/>
      </c:catAx>
      <c:valAx>
        <c:axId val="1846492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382463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Median!$B$40</c:f>
              <c:strCache>
                <c:ptCount val="1"/>
                <c:pt idx="0">
                  <c:v>No. of Customer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98-4795-9335-B134297B46DA}"/>
              </c:ext>
            </c:extLst>
          </c:dPt>
          <c:cat>
            <c:numRef>
              <c:f>Median!$C$39:$G$39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cat>
          <c:val>
            <c:numRef>
              <c:f>Median!$C$40:$G$40</c:f>
              <c:numCache>
                <c:formatCode>General</c:formatCode>
                <c:ptCount val="5"/>
                <c:pt idx="0">
                  <c:v>8</c:v>
                </c:pt>
                <c:pt idx="1">
                  <c:v>15</c:v>
                </c:pt>
                <c:pt idx="2">
                  <c:v>22</c:v>
                </c:pt>
                <c:pt idx="3">
                  <c:v>18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98-4795-9335-B134297B4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026191"/>
        <c:axId val="1846479471"/>
      </c:barChart>
      <c:catAx>
        <c:axId val="165602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479471"/>
        <c:crosses val="autoZero"/>
        <c:auto val="1"/>
        <c:lblAlgn val="ctr"/>
        <c:lblOffset val="100"/>
        <c:noMultiLvlLbl val="0"/>
      </c:catAx>
      <c:valAx>
        <c:axId val="1846479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02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201162899858234E-2"/>
          <c:y val="0.1439097068626975"/>
          <c:w val="0.90286351706036749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Mode!$B$9</c:f>
              <c:strCache>
                <c:ptCount val="1"/>
                <c:pt idx="0">
                  <c:v>Delivery Time(days)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Mode!$C$8:$N$8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Mode!$C$9:$N$9</c:f>
              <c:numCache>
                <c:formatCode>General</c:formatCode>
                <c:ptCount val="12"/>
                <c:pt idx="0">
                  <c:v>25</c:v>
                </c:pt>
                <c:pt idx="1">
                  <c:v>30</c:v>
                </c:pt>
                <c:pt idx="2">
                  <c:v>28</c:v>
                </c:pt>
                <c:pt idx="3">
                  <c:v>30</c:v>
                </c:pt>
                <c:pt idx="4">
                  <c:v>35</c:v>
                </c:pt>
                <c:pt idx="5">
                  <c:v>30</c:v>
                </c:pt>
                <c:pt idx="6">
                  <c:v>40</c:v>
                </c:pt>
                <c:pt idx="7">
                  <c:v>32</c:v>
                </c:pt>
                <c:pt idx="8">
                  <c:v>30</c:v>
                </c:pt>
                <c:pt idx="9">
                  <c:v>38</c:v>
                </c:pt>
                <c:pt idx="10">
                  <c:v>30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2C-4EA4-B4CF-9B198E85F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694607"/>
        <c:axId val="1846506831"/>
      </c:lineChart>
      <c:catAx>
        <c:axId val="164869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506831"/>
        <c:crosses val="autoZero"/>
        <c:auto val="1"/>
        <c:lblAlgn val="ctr"/>
        <c:lblOffset val="100"/>
        <c:noMultiLvlLbl val="0"/>
      </c:catAx>
      <c:valAx>
        <c:axId val="1846506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69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Rating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Mode!$B$38</c:f>
              <c:strCache>
                <c:ptCount val="1"/>
                <c:pt idx="0">
                  <c:v>No. of  Customer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Mode!$C$37:$G$37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Mode!$C$38:$G$38</c:f>
              <c:numCache>
                <c:formatCode>General</c:formatCode>
                <c:ptCount val="5"/>
                <c:pt idx="0">
                  <c:v>10</c:v>
                </c:pt>
                <c:pt idx="1">
                  <c:v>18</c:v>
                </c:pt>
                <c:pt idx="2">
                  <c:v>35</c:v>
                </c:pt>
                <c:pt idx="3">
                  <c:v>60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8-4CE6-9189-C7DD3FB47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1984655"/>
        <c:axId val="1846507311"/>
      </c:barChart>
      <c:catAx>
        <c:axId val="160198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507311"/>
        <c:crosses val="autoZero"/>
        <c:auto val="1"/>
        <c:lblAlgn val="ctr"/>
        <c:lblOffset val="100"/>
        <c:noMultiLvlLbl val="0"/>
      </c:catAx>
      <c:valAx>
        <c:axId val="1846507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98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Employee</a:t>
            </a:r>
            <a:r>
              <a:rPr lang="en-IN" b="1" baseline="0"/>
              <a:t> Salary Distribution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Mode!$B$80</c:f>
              <c:strCache>
                <c:ptCount val="1"/>
                <c:pt idx="0">
                  <c:v>No. of employee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184-4B10-A44E-77DEB95B3A6B}"/>
              </c:ext>
            </c:extLst>
          </c:dPt>
          <c:cat>
            <c:strRef>
              <c:f>Mode!$C$79:$G$79</c:f>
              <c:strCache>
                <c:ptCount val="5"/>
                <c:pt idx="0">
                  <c:v>20000-30000</c:v>
                </c:pt>
                <c:pt idx="1">
                  <c:v>30000-40000</c:v>
                </c:pt>
                <c:pt idx="2">
                  <c:v>40000-50000</c:v>
                </c:pt>
                <c:pt idx="3">
                  <c:v>50000-60000</c:v>
                </c:pt>
                <c:pt idx="4">
                  <c:v>60000-700000</c:v>
                </c:pt>
              </c:strCache>
            </c:strRef>
          </c:cat>
          <c:val>
            <c:numRef>
              <c:f>Mode!$C$80:$G$80</c:f>
              <c:numCache>
                <c:formatCode>General</c:formatCode>
                <c:ptCount val="5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10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4-4B10-A44E-77DEB95B3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1650400095"/>
        <c:axId val="1846507791"/>
      </c:barChart>
      <c:catAx>
        <c:axId val="165040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507791"/>
        <c:crosses val="autoZero"/>
        <c:auto val="1"/>
        <c:lblAlgn val="ctr"/>
        <c:lblOffset val="100"/>
        <c:noMultiLvlLbl val="0"/>
      </c:catAx>
      <c:valAx>
        <c:axId val="1846507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0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val">
        <cx:f dir="row">_xlchart.v1.2</cx:f>
      </cx:numDim>
    </cx:data>
  </cx:chartData>
  <cx:chart>
    <cx:title pos="t" align="ctr" overlay="0">
      <cx:tx>
        <cx:txData>
          <cx:v>Employee Salary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Employee Salary Distribution</a:t>
          </a:r>
        </a:p>
      </cx:txPr>
    </cx:title>
    <cx:plotArea>
      <cx:plotAreaRegion>
        <cx:series layoutId="clusteredColumn" uniqueId="{00000000-44E4-48C0-9CC0-42B1CCB65A35}" formatIdx="0">
          <cx:tx>
            <cx:txData>
              <cx:f>_xlchart.v1.0</cx:f>
              <cx:v>No. of employee</cx:v>
            </cx:txData>
          </cx:tx>
          <cx:spPr>
            <a:solidFill>
              <a:schemeClr val="bg1">
                <a:lumMod val="75000"/>
              </a:schemeClr>
            </a:solidFill>
          </cx:spPr>
          <cx:dataId val="0"/>
          <cx:layoutPr>
            <cx:aggregation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_xlchart.v1.3</cx:f>
      </cx:strDim>
      <cx:numDim type="val">
        <cx:f dir="row">_xlchart.v1.4</cx:f>
      </cx:numDim>
    </cx:data>
  </cx:chartData>
  <cx:chart>
    <cx:plotArea>
      <cx:plotAreaRegion>
        <cx:series layoutId="clusteredColumn" uniqueId="{00000000-D8E7-4350-AFC4-4F44395E5724}">
          <cx:spPr>
            <a:solidFill>
              <a:schemeClr val="accent5">
                <a:lumMod val="50000"/>
              </a:schemeClr>
            </a:solidFill>
          </cx:spPr>
          <cx:dataId val="0"/>
          <cx:layoutPr>
            <cx:aggregation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microsoft.com/office/2014/relationships/chartEx" Target="../charts/chartEx1.xml"/><Relationship Id="rId2" Type="http://schemas.openxmlformats.org/officeDocument/2006/relationships/customXml" Target="../ink/ink1.xml"/><Relationship Id="rId1" Type="http://schemas.openxmlformats.org/officeDocument/2006/relationships/chart" Target="../charts/chart1.xml"/><Relationship Id="rId6" Type="http://schemas.openxmlformats.org/officeDocument/2006/relationships/chart" Target="../charts/chart2.xml"/><Relationship Id="rId5" Type="http://schemas.openxmlformats.org/officeDocument/2006/relationships/image" Target="../media/image2.png"/><Relationship Id="rId4" Type="http://schemas.openxmlformats.org/officeDocument/2006/relationships/customXml" Target="../ink/ink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customXml" Target="../ink/ink9.xml"/><Relationship Id="rId18" Type="http://schemas.openxmlformats.org/officeDocument/2006/relationships/image" Target="../media/image11.png"/><Relationship Id="rId26" Type="http://schemas.openxmlformats.org/officeDocument/2006/relationships/image" Target="../media/image15.png"/><Relationship Id="rId3" Type="http://schemas.openxmlformats.org/officeDocument/2006/relationships/customXml" Target="../ink/ink4.xml"/><Relationship Id="rId21" Type="http://schemas.openxmlformats.org/officeDocument/2006/relationships/customXml" Target="../ink/ink13.xml"/><Relationship Id="rId7" Type="http://schemas.openxmlformats.org/officeDocument/2006/relationships/customXml" Target="../ink/ink6.xml"/><Relationship Id="rId12" Type="http://schemas.openxmlformats.org/officeDocument/2006/relationships/image" Target="../media/image8.png"/><Relationship Id="rId17" Type="http://schemas.openxmlformats.org/officeDocument/2006/relationships/customXml" Target="../ink/ink11.xml"/><Relationship Id="rId25" Type="http://schemas.openxmlformats.org/officeDocument/2006/relationships/customXml" Target="../ink/ink15.xml"/><Relationship Id="rId2" Type="http://schemas.openxmlformats.org/officeDocument/2006/relationships/image" Target="../media/image3.png"/><Relationship Id="rId16" Type="http://schemas.openxmlformats.org/officeDocument/2006/relationships/image" Target="../media/image10.png"/><Relationship Id="rId20" Type="http://schemas.openxmlformats.org/officeDocument/2006/relationships/image" Target="../media/image12.png"/><Relationship Id="rId29" Type="http://schemas.microsoft.com/office/2014/relationships/chartEx" Target="../charts/chartEx2.xml"/><Relationship Id="rId1" Type="http://schemas.openxmlformats.org/officeDocument/2006/relationships/customXml" Target="../ink/ink3.xml"/><Relationship Id="rId6" Type="http://schemas.openxmlformats.org/officeDocument/2006/relationships/image" Target="../media/image5.png"/><Relationship Id="rId11" Type="http://schemas.openxmlformats.org/officeDocument/2006/relationships/customXml" Target="../ink/ink8.xml"/><Relationship Id="rId24" Type="http://schemas.openxmlformats.org/officeDocument/2006/relationships/image" Target="../media/image14.png"/><Relationship Id="rId5" Type="http://schemas.openxmlformats.org/officeDocument/2006/relationships/customXml" Target="../ink/ink5.xml"/><Relationship Id="rId15" Type="http://schemas.openxmlformats.org/officeDocument/2006/relationships/customXml" Target="../ink/ink10.xml"/><Relationship Id="rId23" Type="http://schemas.openxmlformats.org/officeDocument/2006/relationships/customXml" Target="../ink/ink14.xml"/><Relationship Id="rId28" Type="http://schemas.openxmlformats.org/officeDocument/2006/relationships/chart" Target="../charts/chart4.xml"/><Relationship Id="rId10" Type="http://schemas.openxmlformats.org/officeDocument/2006/relationships/image" Target="../media/image7.png"/><Relationship Id="rId19" Type="http://schemas.openxmlformats.org/officeDocument/2006/relationships/customXml" Target="../ink/ink12.xml"/><Relationship Id="rId4" Type="http://schemas.openxmlformats.org/officeDocument/2006/relationships/image" Target="../media/image4.png"/><Relationship Id="rId9" Type="http://schemas.openxmlformats.org/officeDocument/2006/relationships/customXml" Target="../ink/ink7.xml"/><Relationship Id="rId14" Type="http://schemas.openxmlformats.org/officeDocument/2006/relationships/image" Target="../media/image9.png"/><Relationship Id="rId22" Type="http://schemas.openxmlformats.org/officeDocument/2006/relationships/image" Target="../media/image13.png"/><Relationship Id="rId27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13" Type="http://schemas.openxmlformats.org/officeDocument/2006/relationships/customXml" Target="../ink/ink22.xml"/><Relationship Id="rId18" Type="http://schemas.openxmlformats.org/officeDocument/2006/relationships/customXml" Target="../ink/ink25.xml"/><Relationship Id="rId3" Type="http://schemas.openxmlformats.org/officeDocument/2006/relationships/customXml" Target="../ink/ink17.xml"/><Relationship Id="rId21" Type="http://schemas.openxmlformats.org/officeDocument/2006/relationships/image" Target="../media/image24.png"/><Relationship Id="rId7" Type="http://schemas.openxmlformats.org/officeDocument/2006/relationships/customXml" Target="../ink/ink19.xml"/><Relationship Id="rId12" Type="http://schemas.openxmlformats.org/officeDocument/2006/relationships/image" Target="../media/image20.png"/><Relationship Id="rId17" Type="http://schemas.openxmlformats.org/officeDocument/2006/relationships/customXml" Target="../ink/ink24.xml"/><Relationship Id="rId2" Type="http://schemas.openxmlformats.org/officeDocument/2006/relationships/image" Target="../media/image6.png"/><Relationship Id="rId16" Type="http://schemas.openxmlformats.org/officeDocument/2006/relationships/image" Target="../media/image22.png"/><Relationship Id="rId20" Type="http://schemas.openxmlformats.org/officeDocument/2006/relationships/customXml" Target="../ink/ink26.xml"/><Relationship Id="rId1" Type="http://schemas.openxmlformats.org/officeDocument/2006/relationships/customXml" Target="../ink/ink16.xml"/><Relationship Id="rId6" Type="http://schemas.openxmlformats.org/officeDocument/2006/relationships/image" Target="../media/image17.png"/><Relationship Id="rId11" Type="http://schemas.openxmlformats.org/officeDocument/2006/relationships/customXml" Target="../ink/ink21.xml"/><Relationship Id="rId24" Type="http://schemas.openxmlformats.org/officeDocument/2006/relationships/chart" Target="../charts/chart7.xml"/><Relationship Id="rId5" Type="http://schemas.openxmlformats.org/officeDocument/2006/relationships/customXml" Target="../ink/ink18.xml"/><Relationship Id="rId15" Type="http://schemas.openxmlformats.org/officeDocument/2006/relationships/customXml" Target="../ink/ink23.xml"/><Relationship Id="rId23" Type="http://schemas.openxmlformats.org/officeDocument/2006/relationships/chart" Target="../charts/chart6.xml"/><Relationship Id="rId10" Type="http://schemas.openxmlformats.org/officeDocument/2006/relationships/image" Target="../media/image19.png"/><Relationship Id="rId19" Type="http://schemas.openxmlformats.org/officeDocument/2006/relationships/image" Target="../media/image23.png"/><Relationship Id="rId4" Type="http://schemas.openxmlformats.org/officeDocument/2006/relationships/image" Target="../media/image16.png"/><Relationship Id="rId9" Type="http://schemas.openxmlformats.org/officeDocument/2006/relationships/customXml" Target="../ink/ink20.xml"/><Relationship Id="rId14" Type="http://schemas.openxmlformats.org/officeDocument/2006/relationships/image" Target="../media/image21.png"/><Relationship Id="rId2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802407</xdr:colOff>
      <xdr:row>15</xdr:row>
      <xdr:rowOff>145802</xdr:rowOff>
    </xdr:from>
    <xdr:to>
      <xdr:col>10</xdr:col>
      <xdr:colOff>354608</xdr:colOff>
      <xdr:row>27</xdr:row>
      <xdr:rowOff>74221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6BFDCC-018A-A18B-90D4-FF5D30B85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1153469</xdr:colOff>
      <xdr:row>19</xdr:row>
      <xdr:rowOff>134778</xdr:rowOff>
    </xdr:from>
    <xdr:to>
      <xdr:col>5</xdr:col>
      <xdr:colOff>25204</xdr:colOff>
      <xdr:row>20</xdr:row>
      <xdr:rowOff>140909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95AB980-DD70-09D4-B721-74C2DF71F94B}"/>
                </a:ext>
              </a:extLst>
            </xdr14:cNvPr>
            <xdr14:cNvContentPartPr/>
          </xdr14:nvContentPartPr>
          <xdr14:nvPr macro=""/>
          <xdr14:xfrm>
            <a:off x="4732560" y="3631401"/>
            <a:ext cx="26280" cy="1875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95AB980-DD70-09D4-B721-74C2DF71F94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28355" y="3627130"/>
              <a:ext cx="34690" cy="1961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82084</xdr:colOff>
      <xdr:row>18</xdr:row>
      <xdr:rowOff>119646</xdr:rowOff>
    </xdr:from>
    <xdr:to>
      <xdr:col>5</xdr:col>
      <xdr:colOff>413284</xdr:colOff>
      <xdr:row>19</xdr:row>
      <xdr:rowOff>158898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CEEBE8FD-E665-02BA-20E3-D768C1CC2574}"/>
                </a:ext>
              </a:extLst>
            </xdr14:cNvPr>
            <xdr14:cNvContentPartPr/>
          </xdr14:nvContentPartPr>
          <xdr14:nvPr macro=""/>
          <xdr14:xfrm>
            <a:off x="4815720" y="3434841"/>
            <a:ext cx="331200" cy="22068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CEEBE8FD-E665-02BA-20E3-D768C1CC257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811400" y="3430563"/>
              <a:ext cx="339840" cy="229236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</xdr:col>
      <xdr:colOff>757115</xdr:colOff>
      <xdr:row>51</xdr:row>
      <xdr:rowOff>39865</xdr:rowOff>
    </xdr:from>
    <xdr:to>
      <xdr:col>11</xdr:col>
      <xdr:colOff>512884</xdr:colOff>
      <xdr:row>66</xdr:row>
      <xdr:rowOff>61636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FE4EB05-2682-5023-C41B-62E63E9A5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630115</xdr:colOff>
      <xdr:row>88</xdr:row>
      <xdr:rowOff>136768</xdr:rowOff>
    </xdr:from>
    <xdr:to>
      <xdr:col>12</xdr:col>
      <xdr:colOff>188784</xdr:colOff>
      <xdr:row>107</xdr:row>
      <xdr:rowOff>85809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A734E04B-7513-0DF5-C0A5-4ECEADB55E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9715" y="16424518"/>
              <a:ext cx="8334369" cy="34478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1295160</xdr:colOff>
      <xdr:row>46</xdr:row>
      <xdr:rowOff>18880</xdr:rowOff>
    </xdr:from>
    <xdr:to>
      <xdr:col>1</xdr:col>
      <xdr:colOff>1295520</xdr:colOff>
      <xdr:row>46</xdr:row>
      <xdr:rowOff>175120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FE3B40C-CCF3-DB50-51F0-624AD005228B}"/>
                </a:ext>
              </a:extLst>
            </xdr14:cNvPr>
            <xdr14:cNvContentPartPr/>
          </xdr14:nvContentPartPr>
          <xdr14:nvPr macro=""/>
          <xdr14:xfrm>
            <a:off x="1904760" y="5384630"/>
            <a:ext cx="360" cy="1562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FE3B40C-CCF3-DB50-51F0-624AD005228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900440" y="5380310"/>
              <a:ext cx="9000" cy="16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1294800</xdr:colOff>
      <xdr:row>46</xdr:row>
      <xdr:rowOff>164680</xdr:rowOff>
    </xdr:from>
    <xdr:to>
      <xdr:col>3</xdr:col>
      <xdr:colOff>654440</xdr:colOff>
      <xdr:row>46</xdr:row>
      <xdr:rowOff>165400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AAB5248B-93B3-607C-D063-3D2EE37A51AC}"/>
                </a:ext>
              </a:extLst>
            </xdr14:cNvPr>
            <xdr14:cNvContentPartPr/>
          </xdr14:nvContentPartPr>
          <xdr14:nvPr macro=""/>
          <xdr14:xfrm>
            <a:off x="1904400" y="5530430"/>
            <a:ext cx="2001240" cy="7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AAB5248B-93B3-607C-D063-3D2EE37A51A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900080" y="5521790"/>
              <a:ext cx="20098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50240</xdr:colOff>
      <xdr:row>46</xdr:row>
      <xdr:rowOff>5920</xdr:rowOff>
    </xdr:from>
    <xdr:to>
      <xdr:col>4</xdr:col>
      <xdr:colOff>50960</xdr:colOff>
      <xdr:row>46</xdr:row>
      <xdr:rowOff>165040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39A25B8E-5EF9-2509-ECDD-2FC8D629B766}"/>
                </a:ext>
              </a:extLst>
            </xdr14:cNvPr>
            <xdr14:cNvContentPartPr/>
          </xdr14:nvContentPartPr>
          <xdr14:nvPr macro=""/>
          <xdr14:xfrm>
            <a:off x="3911040" y="5371670"/>
            <a:ext cx="720" cy="1591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39A25B8E-5EF9-2509-ECDD-2FC8D629B76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902400" y="5367350"/>
              <a:ext cx="18000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583160</xdr:colOff>
      <xdr:row>45</xdr:row>
      <xdr:rowOff>164870</xdr:rowOff>
    </xdr:from>
    <xdr:to>
      <xdr:col>3</xdr:col>
      <xdr:colOff>584600</xdr:colOff>
      <xdr:row>45</xdr:row>
      <xdr:rowOff>165230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5ED88AE2-B202-5A63-9DB5-8E9879187EDB}"/>
                </a:ext>
              </a:extLst>
            </xdr14:cNvPr>
            <xdr14:cNvContentPartPr/>
          </xdr14:nvContentPartPr>
          <xdr14:nvPr macro=""/>
          <xdr14:xfrm>
            <a:off x="3834360" y="5346470"/>
            <a:ext cx="144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5ED88AE2-B202-5A63-9DB5-8E9879187EDB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830040" y="5342150"/>
              <a:ext cx="1008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94740</xdr:colOff>
      <xdr:row>45</xdr:row>
      <xdr:rowOff>183950</xdr:rowOff>
    </xdr:from>
    <xdr:to>
      <xdr:col>3</xdr:col>
      <xdr:colOff>666680</xdr:colOff>
      <xdr:row>46</xdr:row>
      <xdr:rowOff>10914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F21F01D3-7A99-EE35-D17F-997D241F0D6A}"/>
                </a:ext>
              </a:extLst>
            </xdr14:cNvPr>
            <xdr14:cNvContentPartPr/>
          </xdr14:nvContentPartPr>
          <xdr14:nvPr macro=""/>
          <xdr14:xfrm>
            <a:off x="2190240" y="5365550"/>
            <a:ext cx="1727640" cy="68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F21F01D3-7A99-EE35-D17F-997D241F0D6A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185920" y="5360870"/>
              <a:ext cx="1736280" cy="1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1257360</xdr:colOff>
      <xdr:row>46</xdr:row>
      <xdr:rowOff>6280</xdr:rowOff>
    </xdr:from>
    <xdr:to>
      <xdr:col>2</xdr:col>
      <xdr:colOff>95460</xdr:colOff>
      <xdr:row>46</xdr:row>
      <xdr:rowOff>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F7050503-3BBB-4793-0CAD-01ED3E0012F3}"/>
                </a:ext>
              </a:extLst>
            </xdr14:cNvPr>
            <xdr14:cNvContentPartPr/>
          </xdr14:nvContentPartPr>
          <xdr14:nvPr macro=""/>
          <xdr14:xfrm>
            <a:off x="1866960" y="5372030"/>
            <a:ext cx="32400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F7050503-3BBB-4793-0CAD-01ED3E0012F3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862280" y="5367350"/>
              <a:ext cx="33264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1466640</xdr:colOff>
      <xdr:row>87</xdr:row>
      <xdr:rowOff>70</xdr:rowOff>
    </xdr:from>
    <xdr:to>
      <xdr:col>2</xdr:col>
      <xdr:colOff>1980</xdr:colOff>
      <xdr:row>88</xdr:row>
      <xdr:rowOff>8497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5FB9C74E-79F2-826E-0099-A3064510AAAA}"/>
                </a:ext>
              </a:extLst>
            </xdr14:cNvPr>
            <xdr14:cNvContentPartPr/>
          </xdr14:nvContentPartPr>
          <xdr14:nvPr macro=""/>
          <xdr14:xfrm>
            <a:off x="2076240" y="10706170"/>
            <a:ext cx="21240" cy="18360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5FB9C74E-79F2-826E-0099-A3064510AAAA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071920" y="10701850"/>
              <a:ext cx="29880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1479600</xdr:colOff>
      <xdr:row>87</xdr:row>
      <xdr:rowOff>177550</xdr:rowOff>
    </xdr:from>
    <xdr:to>
      <xdr:col>6</xdr:col>
      <xdr:colOff>204</xdr:colOff>
      <xdr:row>88</xdr:row>
      <xdr:rowOff>3097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36B22AB4-F06F-4233-3A71-FACF5C0735AC}"/>
                </a:ext>
              </a:extLst>
            </xdr14:cNvPr>
            <xdr14:cNvContentPartPr/>
          </xdr14:nvContentPartPr>
          <xdr14:nvPr macro=""/>
          <xdr14:xfrm>
            <a:off x="2089200" y="10883650"/>
            <a:ext cx="3914640" cy="72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36B22AB4-F06F-4233-3A71-FACF5C0735AC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2084532" y="10874290"/>
              <a:ext cx="3923258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12580</xdr:colOff>
      <xdr:row>86</xdr:row>
      <xdr:rowOff>169820</xdr:rowOff>
    </xdr:from>
    <xdr:to>
      <xdr:col>6</xdr:col>
      <xdr:colOff>45340</xdr:colOff>
      <xdr:row>88</xdr:row>
      <xdr:rowOff>2738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76B5774D-C107-1F05-A8B7-E77A3243B827}"/>
                </a:ext>
              </a:extLst>
            </xdr14:cNvPr>
            <xdr14:cNvContentPartPr/>
          </xdr14:nvContentPartPr>
          <xdr14:nvPr macro=""/>
          <xdr14:xfrm>
            <a:off x="6019680" y="10691770"/>
            <a:ext cx="32760" cy="1922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76B5774D-C107-1F05-A8B7-E77A3243B827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6015360" y="10687450"/>
              <a:ext cx="4140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1441440</xdr:colOff>
      <xdr:row>86</xdr:row>
      <xdr:rowOff>177380</xdr:rowOff>
    </xdr:from>
    <xdr:to>
      <xdr:col>6</xdr:col>
      <xdr:colOff>32020</xdr:colOff>
      <xdr:row>87</xdr:row>
      <xdr:rowOff>2929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92A7DBA8-7A14-79DD-1243-64775D4FD60B}"/>
                </a:ext>
              </a:extLst>
            </xdr14:cNvPr>
            <xdr14:cNvContentPartPr/>
          </xdr14:nvContentPartPr>
          <xdr14:nvPr macro=""/>
          <xdr14:xfrm>
            <a:off x="2051040" y="10699330"/>
            <a:ext cx="3988080" cy="72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92A7DBA8-7A14-79DD-1243-64775D4FD60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046727" y="10698898"/>
              <a:ext cx="3996706" cy="15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1142900</xdr:colOff>
      <xdr:row>86</xdr:row>
      <xdr:rowOff>6020</xdr:rowOff>
    </xdr:from>
    <xdr:to>
      <xdr:col>5</xdr:col>
      <xdr:colOff>6640</xdr:colOff>
      <xdr:row>86</xdr:row>
      <xdr:rowOff>114740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5B12C9DB-746E-9E8B-DE85-425E07504697}"/>
                </a:ext>
              </a:extLst>
            </xdr14:cNvPr>
            <xdr14:cNvContentPartPr/>
          </xdr14:nvContentPartPr>
          <xdr14:nvPr macro=""/>
          <xdr14:xfrm>
            <a:off x="5194200" y="10527970"/>
            <a:ext cx="19440" cy="10872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5B12C9DB-746E-9E8B-DE85-425E07504697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5189880" y="10523650"/>
              <a:ext cx="28080" cy="11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609640</xdr:colOff>
      <xdr:row>85</xdr:row>
      <xdr:rowOff>184050</xdr:rowOff>
    </xdr:from>
    <xdr:to>
      <xdr:col>5</xdr:col>
      <xdr:colOff>610000</xdr:colOff>
      <xdr:row>86</xdr:row>
      <xdr:rowOff>168740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C7509996-BF8D-3FD3-0922-F6498DAC8A19}"/>
                </a:ext>
              </a:extLst>
            </xdr14:cNvPr>
            <xdr14:cNvContentPartPr/>
          </xdr14:nvContentPartPr>
          <xdr14:nvPr macro=""/>
          <xdr14:xfrm>
            <a:off x="5816640" y="10521850"/>
            <a:ext cx="360" cy="16884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C7509996-BF8D-3FD3-0922-F6498DAC8A19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812320" y="10517530"/>
              <a:ext cx="9000" cy="17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615760</xdr:colOff>
      <xdr:row>85</xdr:row>
      <xdr:rowOff>183690</xdr:rowOff>
    </xdr:from>
    <xdr:to>
      <xdr:col>6</xdr:col>
      <xdr:colOff>28420</xdr:colOff>
      <xdr:row>87</xdr:row>
      <xdr:rowOff>5809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8B08C08-5343-2317-8A98-BB91F4C8B69D}"/>
                </a:ext>
              </a:extLst>
            </xdr14:cNvPr>
            <xdr14:cNvContentPartPr/>
          </xdr14:nvContentPartPr>
          <xdr14:nvPr macro=""/>
          <xdr14:xfrm>
            <a:off x="5822760" y="10521490"/>
            <a:ext cx="212760" cy="18144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8B08C08-5343-2317-8A98-BB91F4C8B69D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5818483" y="10517366"/>
              <a:ext cx="221313" cy="189687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</xdr:col>
      <xdr:colOff>48846</xdr:colOff>
      <xdr:row>13</xdr:row>
      <xdr:rowOff>85480</xdr:rowOff>
    </xdr:from>
    <xdr:to>
      <xdr:col>6</xdr:col>
      <xdr:colOff>515327</xdr:colOff>
      <xdr:row>29</xdr:row>
      <xdr:rowOff>22225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CDFB8CF4-DBBA-FF17-76B7-B40845FAD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512885</xdr:colOff>
      <xdr:row>51</xdr:row>
      <xdr:rowOff>87678</xdr:rowOff>
    </xdr:from>
    <xdr:to>
      <xdr:col>7</xdr:col>
      <xdr:colOff>329712</xdr:colOff>
      <xdr:row>67</xdr:row>
      <xdr:rowOff>183172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F986A421-E9AB-E44D-1A7A-4C6C3942C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229577</xdr:colOff>
      <xdr:row>93</xdr:row>
      <xdr:rowOff>2198</xdr:rowOff>
    </xdr:from>
    <xdr:to>
      <xdr:col>7</xdr:col>
      <xdr:colOff>109905</xdr:colOff>
      <xdr:row>108</xdr:row>
      <xdr:rowOff>158750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9" name="Chart 28">
              <a:extLst>
                <a:ext uri="{FF2B5EF4-FFF2-40B4-BE49-F238E27FC236}">
                  <a16:creationId xmlns:a16="http://schemas.microsoft.com/office/drawing/2014/main" id="{9A5B66FD-FA48-6D1B-EED7-5165E49E13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9177" y="17153548"/>
              <a:ext cx="6147778" cy="29188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583160</xdr:colOff>
      <xdr:row>43</xdr:row>
      <xdr:rowOff>164870</xdr:rowOff>
    </xdr:from>
    <xdr:to>
      <xdr:col>3</xdr:col>
      <xdr:colOff>584600</xdr:colOff>
      <xdr:row>43</xdr:row>
      <xdr:rowOff>165230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E55BF0C7-D2E5-4CE7-989B-D8355C407AE3}"/>
                </a:ext>
              </a:extLst>
            </xdr14:cNvPr>
            <xdr14:cNvContentPartPr/>
          </xdr14:nvContentPartPr>
          <xdr14:nvPr macro=""/>
          <xdr14:xfrm>
            <a:off x="3834360" y="5346470"/>
            <a:ext cx="144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55BF0C7-D2E5-4CE7-989B-D8355C407AE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830040" y="5342150"/>
              <a:ext cx="1008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1466977</xdr:colOff>
      <xdr:row>86</xdr:row>
      <xdr:rowOff>6851</xdr:rowOff>
    </xdr:from>
    <xdr:to>
      <xdr:col>1</xdr:col>
      <xdr:colOff>1467697</xdr:colOff>
      <xdr:row>86</xdr:row>
      <xdr:rowOff>138971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43DF3064-12C0-E468-00CB-2442983ACC93}"/>
                </a:ext>
              </a:extLst>
            </xdr14:cNvPr>
            <xdr14:cNvContentPartPr/>
          </xdr14:nvContentPartPr>
          <xdr14:nvPr macro=""/>
          <xdr14:xfrm>
            <a:off x="2080080" y="10809150"/>
            <a:ext cx="720" cy="1321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43DF3064-12C0-E468-00CB-2442983ACC9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70720" y="10804830"/>
              <a:ext cx="18000" cy="14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1459417</xdr:colOff>
      <xdr:row>86</xdr:row>
      <xdr:rowOff>138611</xdr:rowOff>
    </xdr:from>
    <xdr:to>
      <xdr:col>1</xdr:col>
      <xdr:colOff>1474897</xdr:colOff>
      <xdr:row>86</xdr:row>
      <xdr:rowOff>173891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B759EF02-BED4-7155-513A-135A044FA1F6}"/>
                </a:ext>
              </a:extLst>
            </xdr14:cNvPr>
            <xdr14:cNvContentPartPr/>
          </xdr14:nvContentPartPr>
          <xdr14:nvPr macro=""/>
          <xdr14:xfrm>
            <a:off x="2072520" y="10940910"/>
            <a:ext cx="15480" cy="352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B759EF02-BED4-7155-513A-135A044FA1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068200" y="10936590"/>
              <a:ext cx="24120" cy="4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1474177</xdr:colOff>
      <xdr:row>86</xdr:row>
      <xdr:rowOff>167771</xdr:rowOff>
    </xdr:from>
    <xdr:to>
      <xdr:col>5</xdr:col>
      <xdr:colOff>50894</xdr:colOff>
      <xdr:row>87</xdr:row>
      <xdr:rowOff>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429A81C5-B0FF-36EC-AD84-173C89216BB9}"/>
                </a:ext>
              </a:extLst>
            </xdr14:cNvPr>
            <xdr14:cNvContentPartPr/>
          </xdr14:nvContentPartPr>
          <xdr14:nvPr macro=""/>
          <xdr14:xfrm>
            <a:off x="2087280" y="10970070"/>
            <a:ext cx="3642120" cy="151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429A81C5-B0FF-36EC-AD84-173C89216BB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082957" y="10965850"/>
              <a:ext cx="3650766" cy="235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50894</xdr:colOff>
      <xdr:row>86</xdr:row>
      <xdr:rowOff>181091</xdr:rowOff>
    </xdr:from>
    <xdr:to>
      <xdr:col>5</xdr:col>
      <xdr:colOff>51254</xdr:colOff>
      <xdr:row>87</xdr:row>
      <xdr:rowOff>7344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5ED5134F-8344-7CF9-B8BA-642C27E708B7}"/>
                </a:ext>
              </a:extLst>
            </xdr14:cNvPr>
            <xdr14:cNvContentPartPr/>
          </xdr14:nvContentPartPr>
          <xdr14:nvPr macro=""/>
          <xdr14:xfrm>
            <a:off x="5729400" y="10983390"/>
            <a:ext cx="360" cy="180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5ED5134F-8344-7CF9-B8BA-642C27E708B7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725080" y="10979070"/>
              <a:ext cx="9000" cy="1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50534</xdr:colOff>
      <xdr:row>85</xdr:row>
      <xdr:rowOff>182122</xdr:rowOff>
    </xdr:from>
    <xdr:to>
      <xdr:col>5</xdr:col>
      <xdr:colOff>50894</xdr:colOff>
      <xdr:row>86</xdr:row>
      <xdr:rowOff>175331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C5404185-E79E-1726-D351-DB9D4440F8CA}"/>
                </a:ext>
              </a:extLst>
            </xdr14:cNvPr>
            <xdr14:cNvContentPartPr/>
          </xdr14:nvContentPartPr>
          <xdr14:nvPr macro=""/>
          <xdr14:xfrm>
            <a:off x="5729040" y="10801950"/>
            <a:ext cx="360" cy="17568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C5404185-E79E-1726-D351-DB9D4440F8C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724720" y="10797630"/>
              <a:ext cx="9000" cy="1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50894</xdr:colOff>
      <xdr:row>86</xdr:row>
      <xdr:rowOff>11</xdr:rowOff>
    </xdr:from>
    <xdr:to>
      <xdr:col>5</xdr:col>
      <xdr:colOff>51254</xdr:colOff>
      <xdr:row>86</xdr:row>
      <xdr:rowOff>371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89A88661-50FE-B0DE-09FF-446B78443BED}"/>
                </a:ext>
              </a:extLst>
            </xdr14:cNvPr>
            <xdr14:cNvContentPartPr/>
          </xdr14:nvContentPartPr>
          <xdr14:nvPr macro=""/>
          <xdr14:xfrm>
            <a:off x="5729400" y="10802310"/>
            <a:ext cx="360" cy="3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89A88661-50FE-B0DE-09FF-446B78443BE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725080" y="1079799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124171</xdr:colOff>
      <xdr:row>85</xdr:row>
      <xdr:rowOff>174922</xdr:rowOff>
    </xdr:from>
    <xdr:to>
      <xdr:col>5</xdr:col>
      <xdr:colOff>36854</xdr:colOff>
      <xdr:row>86</xdr:row>
      <xdr:rowOff>7571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E1A29D5E-E372-D645-F24C-E29E1E37E144}"/>
                </a:ext>
              </a:extLst>
            </xdr14:cNvPr>
            <xdr14:cNvContentPartPr/>
          </xdr14:nvContentPartPr>
          <xdr14:nvPr macro=""/>
          <xdr14:xfrm>
            <a:off x="2226240" y="10794750"/>
            <a:ext cx="3489120" cy="151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E1A29D5E-E372-D645-F24C-E29E1E37E144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2221557" y="10787972"/>
              <a:ext cx="3497766" cy="276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124171</xdr:colOff>
      <xdr:row>86</xdr:row>
      <xdr:rowOff>6851</xdr:rowOff>
    </xdr:from>
    <xdr:to>
      <xdr:col>2</xdr:col>
      <xdr:colOff>124531</xdr:colOff>
      <xdr:row>86</xdr:row>
      <xdr:rowOff>7211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91A5E62D-A80B-0455-02BD-509482DF1BB1}"/>
                </a:ext>
              </a:extLst>
            </xdr14:cNvPr>
            <xdr14:cNvContentPartPr/>
          </xdr14:nvContentPartPr>
          <xdr14:nvPr macro=""/>
          <xdr14:xfrm>
            <a:off x="2226240" y="10809150"/>
            <a:ext cx="360" cy="3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91A5E62D-A80B-0455-02BD-509482DF1BB1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221920" y="1080483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1481377</xdr:colOff>
      <xdr:row>86</xdr:row>
      <xdr:rowOff>6851</xdr:rowOff>
    </xdr:from>
    <xdr:to>
      <xdr:col>2</xdr:col>
      <xdr:colOff>124171</xdr:colOff>
      <xdr:row>86</xdr:row>
      <xdr:rowOff>51131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4A8903B0-020A-FC29-AEAE-690F8352BBBA}"/>
                </a:ext>
              </a:extLst>
            </xdr14:cNvPr>
            <xdr14:cNvContentPartPr/>
          </xdr14:nvContentPartPr>
          <xdr14:nvPr macro=""/>
          <xdr14:xfrm>
            <a:off x="2094480" y="10809150"/>
            <a:ext cx="131760" cy="4428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4A8903B0-020A-FC29-AEAE-690F8352BBBA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090160" y="10804830"/>
              <a:ext cx="140400" cy="5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4291</xdr:colOff>
      <xdr:row>86</xdr:row>
      <xdr:rowOff>11891</xdr:rowOff>
    </xdr:from>
    <xdr:to>
      <xdr:col>2</xdr:col>
      <xdr:colOff>7531</xdr:colOff>
      <xdr:row>86</xdr:row>
      <xdr:rowOff>29171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9561C5E5-5CDA-E6D0-5E3A-41172187180E}"/>
                </a:ext>
              </a:extLst>
            </xdr14:cNvPr>
            <xdr14:cNvContentPartPr/>
          </xdr14:nvContentPartPr>
          <xdr14:nvPr macro=""/>
          <xdr14:xfrm>
            <a:off x="2106360" y="10814190"/>
            <a:ext cx="3240" cy="1728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9561C5E5-5CDA-E6D0-5E3A-41172187180E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102040" y="10809870"/>
              <a:ext cx="11880" cy="259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</xdr:col>
      <xdr:colOff>206745</xdr:colOff>
      <xdr:row>14</xdr:row>
      <xdr:rowOff>162442</xdr:rowOff>
    </xdr:from>
    <xdr:to>
      <xdr:col>9</xdr:col>
      <xdr:colOff>470287</xdr:colOff>
      <xdr:row>30</xdr:row>
      <xdr:rowOff>66526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7DDB760B-63A5-87EA-832C-998DED6F5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584376</xdr:colOff>
      <xdr:row>47</xdr:row>
      <xdr:rowOff>176046</xdr:rowOff>
    </xdr:from>
    <xdr:to>
      <xdr:col>8</xdr:col>
      <xdr:colOff>12877</xdr:colOff>
      <xdr:row>67</xdr:row>
      <xdr:rowOff>123448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F2AB1BC6-8E47-7664-3AE1-95068C64A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10914</xdr:colOff>
      <xdr:row>91</xdr:row>
      <xdr:rowOff>47229</xdr:rowOff>
    </xdr:from>
    <xdr:to>
      <xdr:col>5</xdr:col>
      <xdr:colOff>208358</xdr:colOff>
      <xdr:row>105</xdr:row>
      <xdr:rowOff>59531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6C8E7B5C-E60D-D715-1928-BBE6B9638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2:01:48.371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74 247 24575,'0'-113'0,"-1"134"0,-1 0 0,-6 26 0,3-22 0,-2 30 0,6-44 0,2-7 0,-1-1 0,0 1 0,0 0 0,-1 0 0,1 0 0,-1-1 0,0 1 0,0 0 0,0 0 0,0-1 0,-4 7 0,4-10 0,1 0 0,-1 0 0,1-1 0,0 1 0,-1 0 0,1 0 0,-1-1 0,1 1 0,0 0 0,-1 0 0,1-1 0,0 1 0,-1-1 0,1 1 0,0 0 0,-1-1 0,1 1 0,0-1 0,0 1 0,0-1 0,-1 1 0,1 0 0,0-1 0,0 1 0,0-1 0,0 1 0,0-1 0,0 1 0,0-1 0,0 1 0,0-1 0,0 0 0,-4-20 0,-2-93 0,7 100 0,-1 1 0,2-1 0,0 0 0,0 1 0,1-1 0,6-13 0,-9 27 0,0 0 0,0 0 0,0 0 0,0 0 0,0 0 0,0 0 0,0 0 0,0 0 0,0 1 0,0-1 0,0 0 0,0 0 0,1 0 0,-1 0 0,0 0 0,0 0 0,0 0 0,0 0 0,0 0 0,0 0 0,0 0 0,0 0 0,0 0 0,1 0 0,-1 0 0,0 0 0,0 0 0,0 0 0,0 0 0,0 0 0,0 0 0,0 0 0,0 0 0,0 0 0,1 0 0,-1 0 0,0 0 0,0 0 0,0 0 0,0 0 0,0 0 0,0 0 0,0 0 0,0 0 0,0-1 0,0 1 0,0 0 0,1 0 0,-1 0 0,0 0 0,0 0 0,0 0 0,0 0 0,0 0 0,0 0 0,0 0 0,0-1 0,0 1 0,0 0 0,0 0 0,0 0 0,0 0 0,0 0 0,0 0 0,0 0 0,0 0 0,0 0 0,0-1 0,0 1 0,3 11 0,0 16 0,-4 266 0,1-288 0,1-3 0,-1 1 0,0 0 0,0-1 0,0 1 0,0-1 0,-1 1 0,1 0 0,-1-1 0,1 1 0,-1-1 0,0 1 0,0-1 0,0 0 0,0 1 0,-2 1 0,3-4 0,-1 0 0,1 0 0,0 0 0,-1 0 0,1 0 0,0 0 0,-1 0 0,1 0 0,0 0 0,-1 0 0,1 0 0,0 0 0,0 0 0,-1 0 0,1 0 0,0 0 0,-1-1 0,1 1 0,0 0 0,0 0 0,-1 0 0,1 0 0,0-1 0,0 1 0,0 0 0,-1 0 0,1-1 0,0 1 0,0 0 0,0 0 0,0-1 0,-1 1 0,1 0 0,0 0 0,0-1 0,0 1 0,0 0 0,0-1 0,0 1 0,0 0 0,0-1 0,0 1 0,0 0 0,0-1 0,0 1 0,-3-17 0,-2-46 0,5-98 0,2 70 0,0 201 0,-4 121 0,-2-208 0,4-22 0,0 0 0,0 0 0,0 0 0,0-1 0,0 1 0,0 0 0,0 0 0,-1 0 0,1-1 0,0 1 0,-1 0 0,1 0 0,0-1 0,-1 1 0,1 0 0,-1-1 0,1 1 0,-1-1 0,1 1 0,-1 0 0,1-1 0,-1 1 0,0-1 0,0 1 0,-1-3 0,1 0 0,0 0 0,0 0 0,0 0 0,1 0 0,-1 0 0,0 0 0,1-1 0,-1 1 0,1 0 0,0 0 0,0-1 0,0 1 0,0-3 0,0 0 0,-4-71 0,8-88 0,7 84 0,-6 51 0,2-50 0,-7 21 0,-1 469 0,1-725-1365,0 301-5461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9T12:01:51.993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1 335 24575,'0'19'0,"1"-1"0,0 0 0,1 1 0,8 28 0,-10-47 0,0 0 0,0 0 0,0 0 0,0 0 0,1 0 0,-1 0 0,0 0 0,0-1 0,0 1 0,0 0 0,0 0 0,0 0 0,0 0 0,0 0 0,0 0 0,0 0 0,0 0 0,0 0 0,1 0 0,-1 0 0,0 0 0,0 0 0,0 0 0,0 0 0,0 0 0,0 0 0,0 0 0,0 0 0,0 0 0,0 0 0,1 0 0,-1 0 0,0 0 0,0 0 0,0 0 0,0 0 0,0 0 0,0 0 0,0 0 0,0 0 0,0 0 0,0 0 0,0 1 0,0-1 0,0 0 0,1 0 0,-1 0 0,0 0 0,0 0 0,0 0 0,0 0 0,0 0 0,0 0 0,0 0 0,0 0 0,0 0 0,0 1 0,0-1 0,0 0 0,0 0 0,0 0 0,0 0 0,0 0 0,3-12 0,0-16 0,-4-23 0,0 36 0,0-1 0,1 1 0,1-1 0,5-27 0,-5 41 0,-1-1 0,1 1 0,0 0 0,0 0 0,0 0 0,0 0 0,0 0 0,0 1 0,0-1 0,1 0 0,-1 0 0,4-2 0,-4 3 0,0 0 0,0 1 0,0-1 0,0 1 0,0-1 0,0 1 0,0-1 0,0 1 0,1 0 0,-1 0 0,0-1 0,0 1 0,0 0 0,0 0 0,1 0 0,-1 0 0,0 0 0,1 1 0,1 0 0,-1 0 0,1 0 0,-1 0 0,0 0 0,1 0 0,-1 1 0,0-1 0,0 1 0,0 0 0,0 0 0,-1 0 0,1-1 0,0 2 0,-1-1 0,1 0 0,-1 0 0,0 0 0,1 1 0,-1-1 0,1 4 0,0 0 0,7 20 0,0-2 0,16 29 0,-22-48-227,0 0-1,-1 1 1,0-1-1,0 0 1,2 10-1,-2 2-6598</inkml:trace>
  <inkml:trace contextRef="#ctx0" brushRef="#br0" timeOffset="2342.67">47 405 24575,'0'-4'0,"0"-6"0,4 0 0,1-3 0,0-3 0,3 1 0,0 0 0,3 1 0,-1 0 0,2 2 0,2 4 0,0-2 0,5 2 0,-1-6 0,0-1 0,2 2 0,-4 8 0,-3 4-8191</inkml:trace>
  <inkml:trace contextRef="#ctx0" brushRef="#br0" timeOffset="3790.92">253 220 24575,'2'0'0,"1"0"0,-1 0 0,0 1 0,0-1 0,0 1 0,0-1 0,0 1 0,0 0 0,0 0 0,-1 0 0,1 0 0,0 0 0,0 0 0,2 3 0,22 26 0,-11-11 0,15 11 0,-19-19 0,0 0 0,0 1 0,-1 0 0,0 1 0,9 16 0,-17-25 0,-1-1 0,1 0 0,0 0 0,0 0 0,1 0 0,4 5 0,-6-7 0,-1-1 0,0 0 0,0 0 0,0 0 0,1 0 0,-1 1 0,0-1 0,0 0 0,0 0 0,1 0 0,-1 0 0,0 0 0,1 0 0,-1 0 0,0 0 0,0 0 0,1 0 0,-1 0 0,0 0 0,0 0 0,1 0 0,-1 0 0,0 0 0,0 0 0,1 0 0,-1 0 0,0 0 0,0 0 0,1-1 0,-1 1 0,0 0 0,0 0 0,0 0 0,1 0 0,-1-1 0,5-17 0,-4-84 0,-2 61 0,-1 30 0,1-1 0,-2 1 0,1-1 0,-2 1 0,1 0 0,-9-16 0,-5-18 0,10 26-1365,0 4-5461</inkml:trace>
  <inkml:trace contextRef="#ctx0" brushRef="#br0" timeOffset="6905.56">712 11 24575,'0'0'0,"0"-1"0,0 1 0,0-1 0,0 1 0,0-1 0,0 1 0,0 0 0,-1-1 0,1 1 0,0-1 0,0 1 0,0-1 0,-1 1 0,1 0 0,0-1 0,-1 1 0,1 0 0,0-1 0,-1 1 0,1 0 0,0 0 0,-1-1 0,1 1 0,0 0 0,-1 0 0,1-1 0,-1 1 0,1 0 0,-1 0 0,1 0 0,0 0 0,-1 0 0,1 0 0,-1 0 0,1 0 0,-1 0 0,1 0 0,-1 0 0,1 0 0,-1 0 0,1 0 0,0 0 0,-1 0 0,1 0 0,-1 1 0,1-1 0,-1 0 0,1 0 0,0 1 0,-1-1 0,1 0 0,-1 1 0,-22 14 0,18-10 0,0 1 0,0 1 0,0-1 0,1 1 0,0-1 0,0 1 0,-3 9 0,6-14 0,0-1 0,1 0 0,0 1 0,-1-1 0,1 1 0,0-1 0,0 0 0,-1 1 0,1-1 0,0 1 0,0-1 0,1 1 0,-1-1 0,0 1 0,0-1 0,1 0 0,-1 1 0,1-1 0,-1 1 0,1-1 0,0 0 0,-1 0 0,1 1 0,0-1 0,0 0 0,0 0 0,0 0 0,0 0 0,0 0 0,0 0 0,0 0 0,0 0 0,1-1 0,-1 1 0,0 0 0,1-1 0,-1 1 0,0-1 0,1 1 0,-1-1 0,1 1 0,-1-1 0,0 0 0,1 0 0,1 0 0,8 2 0,1 0 0,-1-1 0,0-1 0,1 0 0,15-1 0,-24 0 0,0 1 0,-1 0 0,1-1 0,0 0 0,-1 1 0,1-1 0,-1 0 0,1 0 0,-1-1 0,1 1 0,-1 0 0,0-1 0,0 0 0,1 1 0,-1-1 0,0 0 0,-1 0 0,1 0 0,0 0 0,-1-1 0,1 1 0,-1 0 0,1-1 0,-1 1 0,0-1 0,0 1 0,1-6 0,-1-19 0,-2 24 0,1-1 0,0 1 0,0-1 0,0 1 0,1-1 0,-1 0 0,1 1 0,0-1 0,2-4 0,-3 7 0,0 1 0,1 0 0,-1 0 0,0-1 0,1 1 0,-1 0 0,0 0 0,1 0 0,-1 0 0,0 0 0,1 0 0,-1-1 0,1 1 0,-1 0 0,0 0 0,1 0 0,-1 0 0,0 0 0,1 0 0,-1 1 0,1-1 0,-1 0 0,0 0 0,1 0 0,-1 0 0,0 0 0,1 0 0,-1 1 0,0-1 0,1 0 0,-1 0 0,0 1 0,1-1 0,-1 0 0,0 0 0,0 1 0,1-1 0,-1 0 0,0 1 0,0-1 0,0 0 0,1 1 0,12 17 0,-11-15 0,11 14 0,-7-10 0,0 1 0,-1 0 0,1 1 0,5 14 0,-3-3 0,-2 1 0,0-1 0,-1 1 0,-2 1 0,0-1 0,-1 0 0,-2 40 0,-1 21 0,0 138 0,-2-249-1365,-2-6-5461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07:39:16.280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0 0 24575,'0'414'-1365,"0"-395"-5461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07:39:21.597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1 29 24012,'5585'0'0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07:39:28.265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6 442 22186,'0'-441'0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07:39:29.826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3 0 24575,'-3'0'0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07:39:35.538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4808 0 24454,'-4807'46'0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07:39:38.885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899 0 21389,'-899'0'0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07:56:05.072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0 0 24575,'1'7'0,"1"-1"0,-1-1 0,2 2 0,-2-1 0,1 0 0,2-1 0,-1 2 0,1-2 0,6 9 0,-4-6 0,-1 1 0,0-2 0,7 18 0,-6 5 0,-1 1 0,-1 0 0,-2 1 0,-6 52 0,1-6 0,3 54-1365,0-115-5461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07:56:21.939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0 0 23619,'10914'0'0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07:56:31.966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0 569 24575,'5'0'0,"0"0"0,0 0 0,0 0 0,0-1 0,-1 0 0,1 0 0,0 0 0,0-1 0,-2-1 0,2 1 0,4-2 0,-6 2 0,-1 0 0,0 0 0,0-1 0,0 1 0,0 0 0,0 0 0,-1-1 0,1 1 0,-1 0 0,1-2 0,-1 1 0,0 1 0,0-1 0,0 0 0,0 0 0,0 0 0,-1 0 0,1 0 0,-1 0 0,0-4 0,1-198 0,-4 88 0,2 92 0,-1 1 0,-6-24 0,1-5 0,4 39 342,3 14-390,0 0 1,0 0-1,0-2 1,0 2 0,0 0-1,-1-1 1,1 1-1,0 0 1,0-1 0,0 1-1,0 0 1,0-1-1,0 1 1,0 0-1,-1 0 1,1-1 0,0 1-1,0 0 1,0 0-1,-1-1 1,1 1 0,0 0-1,0 0 1,-1 0-1,1-1 1,0 1 0,0 0-1,-1 0 1,1 0-1,0 0 1,-1 0 0,1 0-1,0-1 1,-1 1-1,0 0 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07:56:39.552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11095 59 24412,'-11095'-19'0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08:01:36.687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0 1 23513,'53'301'0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08:01:49.713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0 0 24575,'0'468'-1365,"0"-478"-5461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08:01:52.747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0 78 24575,'153'-11'0,"5"1"0,-138 10 0,0-1 0,0-1 0,0-1 0,-1-1 0,1 0 0,-1-2 0,34-15 0,-46 18 0,1 0 0,0 1 0,0-1 0,0 2 0,9-2 0,-16 3 0,1 0 0,0 0 0,-1 0 0,1 0 0,-1 0 0,1 1 0,-1-1 0,1 0 0,-1 1 0,1-1 0,-1 1 0,1-1 0,-1 1 0,3 1 0,-4-1 0,1 0 0,-1 0 0,1-1 0,-1 1 0,1 0 0,-1 0 0,1 0 0,-1 0 0,0 0 0,0 0 0,1 0 0,-1 0 0,0 0 0,0 0 0,0 0 0,0 1 0,0-1 0,0 0 0,0 0 0,0 0 0,0 0 0,-1 0 0,1 0 0,0 0 0,-1-1 0,0 3 0,-5 18 0,1 1 0,1 0 0,0 1 0,2-1 0,0 1 0,2 30 0,1 266-1365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08:13:06.855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3 0 24575,'-3'0'0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08:51:44.843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0 1 21389,'0'365'0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08:51:47.608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1 0 24575,'0'4'0,"0"4"0,3 4 0,2 4 0,3-1 0,0 1 0,-1 0 0,-2-5 0,-1-12 0,-2-6-8191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08:51:59.367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1 0 24476,'10109'42'0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08:52:00.735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0 4 24575,'0'-3'0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08:52:02.732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1 487 21389,'0'-486'0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08:52:03.180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0 0 24575,'0'0'-8191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08:52:09.552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9684 0 24461,'-9684'28'0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08:52:10.102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0 1 24575,'0'0'-8191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08:52:12.176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366 1 22186,'-365'122'0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08:52:13.802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9 48 24575,'0'-4'0,"0"-4"0,0-4 0,-4-1 0,0 3-8191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A7CA-19BF-4F19-AD48-C4114B8206F6}">
  <dimension ref="B1:Y113"/>
  <sheetViews>
    <sheetView showGridLines="0" topLeftCell="A79" zoomScale="65" zoomScaleNormal="65" workbookViewId="0">
      <selection activeCell="P104" sqref="P104"/>
    </sheetView>
  </sheetViews>
  <sheetFormatPr defaultRowHeight="14.5" x14ac:dyDescent="0.35"/>
  <cols>
    <col min="2" max="2" width="14.54296875" bestFit="1" customWidth="1"/>
    <col min="3" max="3" width="16.54296875" bestFit="1" customWidth="1"/>
    <col min="4" max="4" width="11.453125" bestFit="1" customWidth="1"/>
    <col min="5" max="5" width="16.54296875" bestFit="1" customWidth="1"/>
    <col min="6" max="7" width="11.453125" bestFit="1" customWidth="1"/>
  </cols>
  <sheetData>
    <row r="1" spans="2:25" ht="14.5" customHeight="1" x14ac:dyDescent="0.3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2:25" x14ac:dyDescent="0.35"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>
        <f>F13</f>
        <v>150</v>
      </c>
      <c r="O2" s="11" t="s">
        <v>41</v>
      </c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2:25" x14ac:dyDescent="0.35">
      <c r="N3" t="s">
        <v>45</v>
      </c>
      <c r="O3" s="11" t="s">
        <v>42</v>
      </c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2:25" x14ac:dyDescent="0.35">
      <c r="N4" t="s">
        <v>45</v>
      </c>
      <c r="O4" s="11" t="s">
        <v>43</v>
      </c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2:25" x14ac:dyDescent="0.35">
      <c r="N5" t="s">
        <v>45</v>
      </c>
      <c r="O5" s="11" t="s">
        <v>44</v>
      </c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2:25" ht="18" customHeight="1" x14ac:dyDescent="0.35">
      <c r="B6" s="16" t="s">
        <v>14</v>
      </c>
      <c r="C6" s="16"/>
      <c r="D6" s="16"/>
      <c r="E6" s="16"/>
      <c r="F6" s="16"/>
      <c r="G6" s="16"/>
      <c r="H6" s="16"/>
      <c r="I6" s="16"/>
      <c r="J6" s="16"/>
      <c r="K6" s="16"/>
      <c r="L6" s="16"/>
    </row>
    <row r="8" spans="2:25" x14ac:dyDescent="0.35">
      <c r="B8" s="1" t="s">
        <v>1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  <c r="H8" s="1" t="s">
        <v>8</v>
      </c>
      <c r="I8" s="1" t="s">
        <v>9</v>
      </c>
      <c r="J8" s="1" t="s">
        <v>10</v>
      </c>
      <c r="K8" s="1" t="s">
        <v>11</v>
      </c>
      <c r="L8" s="1" t="s">
        <v>12</v>
      </c>
    </row>
    <row r="9" spans="2:25" x14ac:dyDescent="0.35">
      <c r="B9" s="1" t="s">
        <v>2</v>
      </c>
      <c r="C9" s="1">
        <v>120</v>
      </c>
      <c r="D9" s="1">
        <v>135</v>
      </c>
      <c r="E9" s="1">
        <v>128</v>
      </c>
      <c r="F9" s="1">
        <v>145</v>
      </c>
      <c r="G9" s="1">
        <v>150</v>
      </c>
      <c r="H9" s="1">
        <v>165</v>
      </c>
      <c r="I9" s="1">
        <v>158</v>
      </c>
      <c r="J9" s="1">
        <v>172</v>
      </c>
      <c r="K9" s="1">
        <v>160</v>
      </c>
      <c r="L9" s="1">
        <v>167</v>
      </c>
    </row>
    <row r="13" spans="2:25" x14ac:dyDescent="0.35">
      <c r="C13" s="17" t="s">
        <v>13</v>
      </c>
      <c r="D13" s="17"/>
      <c r="E13" s="17"/>
      <c r="F13">
        <f>AVERAGE(C9:L9)</f>
        <v>150</v>
      </c>
      <c r="G13" s="6"/>
      <c r="H13" s="6"/>
      <c r="I13" s="6"/>
      <c r="J13" s="6"/>
      <c r="K13" s="6"/>
      <c r="L13" s="6"/>
      <c r="M13" s="6"/>
    </row>
    <row r="29" spans="3:11" x14ac:dyDescent="0.35">
      <c r="C29" s="19" t="s">
        <v>53</v>
      </c>
      <c r="D29" s="19"/>
      <c r="E29" s="19"/>
      <c r="F29" s="19"/>
      <c r="G29" s="19"/>
      <c r="H29" s="19"/>
      <c r="I29" s="19"/>
      <c r="J29" s="19"/>
      <c r="K29" s="19"/>
    </row>
    <row r="36" spans="2:25" ht="17.5" x14ac:dyDescent="0.55000000000000004">
      <c r="B36" s="16" t="s">
        <v>15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4"/>
    </row>
    <row r="37" spans="2:25" x14ac:dyDescent="0.35">
      <c r="P37" s="17" t="s">
        <v>40</v>
      </c>
      <c r="Q37" s="17"/>
      <c r="R37" s="17"/>
      <c r="S37" s="17"/>
      <c r="T37" s="17"/>
      <c r="U37" s="17"/>
      <c r="V37" s="17"/>
      <c r="W37" s="17"/>
    </row>
    <row r="38" spans="2:25" x14ac:dyDescent="0.35">
      <c r="B38" s="1" t="s">
        <v>16</v>
      </c>
      <c r="C38" s="1">
        <v>4</v>
      </c>
      <c r="D38" s="1">
        <v>5</v>
      </c>
      <c r="E38" s="1">
        <v>3</v>
      </c>
      <c r="F38" s="1">
        <v>2</v>
      </c>
      <c r="G38" s="1">
        <v>1</v>
      </c>
      <c r="P38" s="17"/>
      <c r="Q38" s="17"/>
      <c r="R38" s="17"/>
      <c r="S38" s="17"/>
      <c r="T38" s="17"/>
      <c r="U38" s="17"/>
      <c r="V38" s="17"/>
      <c r="W38" s="17"/>
    </row>
    <row r="39" spans="2:25" x14ac:dyDescent="0.35">
      <c r="B39" s="1" t="s">
        <v>17</v>
      </c>
      <c r="C39" s="1">
        <v>75</v>
      </c>
      <c r="D39" s="1">
        <v>60</v>
      </c>
      <c r="E39" s="1">
        <v>42</v>
      </c>
      <c r="F39" s="1">
        <v>15</v>
      </c>
      <c r="G39" s="1">
        <v>8</v>
      </c>
    </row>
    <row r="43" spans="2:25" x14ac:dyDescent="0.35">
      <c r="B43" s="2" t="s">
        <v>18</v>
      </c>
      <c r="C43" s="2" t="s">
        <v>19</v>
      </c>
      <c r="D43" s="2" t="s">
        <v>20</v>
      </c>
      <c r="F43" s="10" t="s">
        <v>23</v>
      </c>
      <c r="G43" s="10"/>
      <c r="H43" s="10"/>
      <c r="I43" s="10"/>
      <c r="J43">
        <f>AVERAGE(B44:B48)</f>
        <v>3</v>
      </c>
      <c r="N43" t="s">
        <v>48</v>
      </c>
      <c r="O43" s="11" t="s">
        <v>46</v>
      </c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2:25" x14ac:dyDescent="0.35">
      <c r="B44" s="1">
        <v>1</v>
      </c>
      <c r="C44" s="1">
        <v>8</v>
      </c>
      <c r="D44" s="1">
        <f>B44*C44</f>
        <v>8</v>
      </c>
      <c r="F44" s="10" t="s">
        <v>21</v>
      </c>
      <c r="G44" s="10"/>
      <c r="H44" s="10"/>
      <c r="I44" s="10"/>
      <c r="J44">
        <f>SUM(C44:C48)</f>
        <v>200</v>
      </c>
      <c r="N44">
        <v>4</v>
      </c>
      <c r="O44" s="11" t="s">
        <v>47</v>
      </c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2:25" x14ac:dyDescent="0.35">
      <c r="B45" s="1">
        <v>2</v>
      </c>
      <c r="C45" s="1">
        <v>15</v>
      </c>
      <c r="D45" s="1">
        <f t="shared" ref="D45:D48" si="0">B45*C45</f>
        <v>30</v>
      </c>
      <c r="F45" s="10" t="s">
        <v>22</v>
      </c>
      <c r="G45" s="10"/>
      <c r="H45" s="10"/>
      <c r="I45" s="10"/>
      <c r="J45">
        <f>SUM(D44:D48)</f>
        <v>764</v>
      </c>
      <c r="N45" t="s">
        <v>48</v>
      </c>
      <c r="O45" s="11" t="s">
        <v>49</v>
      </c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2:25" x14ac:dyDescent="0.35">
      <c r="B46" s="1">
        <v>3</v>
      </c>
      <c r="C46" s="1">
        <v>42</v>
      </c>
      <c r="D46" s="1">
        <f t="shared" si="0"/>
        <v>126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2:25" x14ac:dyDescent="0.35">
      <c r="B47" s="1">
        <v>4</v>
      </c>
      <c r="C47" s="1">
        <v>75</v>
      </c>
      <c r="D47" s="1">
        <f t="shared" si="0"/>
        <v>300</v>
      </c>
      <c r="F47" s="12" t="s">
        <v>24</v>
      </c>
      <c r="G47" s="12"/>
      <c r="H47" s="12"/>
      <c r="I47" s="12"/>
      <c r="J47">
        <f>J45/J44</f>
        <v>3.82</v>
      </c>
    </row>
    <row r="48" spans="2:25" x14ac:dyDescent="0.35">
      <c r="B48" s="1">
        <v>5</v>
      </c>
      <c r="C48" s="1">
        <v>60</v>
      </c>
      <c r="D48" s="1">
        <f t="shared" si="0"/>
        <v>300</v>
      </c>
    </row>
    <row r="49" spans="6:9" x14ac:dyDescent="0.35">
      <c r="F49" s="20" t="s">
        <v>25</v>
      </c>
      <c r="G49" s="20"/>
      <c r="H49" s="20"/>
      <c r="I49" s="20"/>
    </row>
    <row r="68" spans="2:25" x14ac:dyDescent="0.35">
      <c r="C68" s="19" t="s">
        <v>54</v>
      </c>
      <c r="D68" s="19"/>
      <c r="E68" s="19"/>
      <c r="F68" s="19"/>
      <c r="G68" s="19"/>
      <c r="H68" s="19"/>
      <c r="I68" s="19"/>
      <c r="J68" s="19"/>
      <c r="K68" s="19"/>
      <c r="L68" s="19"/>
    </row>
    <row r="72" spans="2:25" x14ac:dyDescent="0.35">
      <c r="C72">
        <v>6</v>
      </c>
    </row>
    <row r="73" spans="2:25" x14ac:dyDescent="0.35">
      <c r="B73" s="13" t="s">
        <v>26</v>
      </c>
      <c r="C73" s="13"/>
      <c r="D73" s="13"/>
      <c r="E73" s="13"/>
      <c r="F73" s="13"/>
      <c r="G73" s="13"/>
      <c r="H73" s="13"/>
      <c r="I73" s="13"/>
      <c r="J73" s="13"/>
    </row>
    <row r="76" spans="2:25" x14ac:dyDescent="0.35">
      <c r="B76" s="1" t="s">
        <v>27</v>
      </c>
      <c r="C76" s="5" t="s">
        <v>29</v>
      </c>
      <c r="D76" s="5" t="s">
        <v>30</v>
      </c>
      <c r="E76" s="5" t="s">
        <v>31</v>
      </c>
      <c r="F76" s="5" t="s">
        <v>32</v>
      </c>
      <c r="G76" s="5" t="s">
        <v>33</v>
      </c>
    </row>
    <row r="77" spans="2:25" x14ac:dyDescent="0.35">
      <c r="B77" s="1" t="s">
        <v>28</v>
      </c>
      <c r="C77" s="1">
        <v>6</v>
      </c>
      <c r="D77" s="1">
        <v>12</v>
      </c>
      <c r="E77" s="1">
        <v>18</v>
      </c>
      <c r="F77" s="1">
        <v>10</v>
      </c>
      <c r="G77" s="1">
        <v>4</v>
      </c>
    </row>
    <row r="79" spans="2:25" x14ac:dyDescent="0.35">
      <c r="O79" s="11" t="s">
        <v>50</v>
      </c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2:25" x14ac:dyDescent="0.35">
      <c r="O80" s="11" t="s">
        <v>51</v>
      </c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2:25" x14ac:dyDescent="0.35">
      <c r="B81" s="1" t="s">
        <v>27</v>
      </c>
      <c r="C81" s="1" t="s">
        <v>34</v>
      </c>
      <c r="D81" s="1" t="s">
        <v>35</v>
      </c>
      <c r="E81" s="1" t="s">
        <v>37</v>
      </c>
      <c r="F81" s="1" t="s">
        <v>36</v>
      </c>
      <c r="G81" s="1" t="s">
        <v>20</v>
      </c>
      <c r="I81" s="3" t="s">
        <v>38</v>
      </c>
      <c r="J81">
        <f>SUM(G82:G86)</f>
        <v>2190000</v>
      </c>
      <c r="O81" s="11" t="s">
        <v>52</v>
      </c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2:25" x14ac:dyDescent="0.35">
      <c r="B82" s="5" t="s">
        <v>29</v>
      </c>
      <c r="C82" s="1">
        <v>20000</v>
      </c>
      <c r="D82" s="1">
        <v>30000</v>
      </c>
      <c r="E82" s="1">
        <v>6</v>
      </c>
      <c r="F82" s="1">
        <f>(C82+D82)/2</f>
        <v>25000</v>
      </c>
      <c r="G82" s="1">
        <f>E82*F82</f>
        <v>150000</v>
      </c>
      <c r="I82" s="3" t="s">
        <v>39</v>
      </c>
      <c r="J82">
        <f>SUM(E82:E86)</f>
        <v>50</v>
      </c>
    </row>
    <row r="83" spans="2:25" x14ac:dyDescent="0.35">
      <c r="B83" s="5" t="s">
        <v>30</v>
      </c>
      <c r="C83" s="1">
        <v>30000</v>
      </c>
      <c r="D83" s="1">
        <v>40000</v>
      </c>
      <c r="E83" s="1">
        <v>12</v>
      </c>
      <c r="F83" s="1">
        <f t="shared" ref="F83:F86" si="1">(C83+D83)/2</f>
        <v>35000</v>
      </c>
      <c r="G83" s="1">
        <f t="shared" ref="G83:G86" si="2">E83*F83</f>
        <v>420000</v>
      </c>
    </row>
    <row r="84" spans="2:25" x14ac:dyDescent="0.35">
      <c r="B84" s="5" t="s">
        <v>31</v>
      </c>
      <c r="C84" s="1">
        <v>40000</v>
      </c>
      <c r="D84" s="1">
        <v>50000</v>
      </c>
      <c r="E84" s="1">
        <v>18</v>
      </c>
      <c r="F84" s="1">
        <f t="shared" si="1"/>
        <v>45000</v>
      </c>
      <c r="G84" s="1">
        <f t="shared" si="2"/>
        <v>810000</v>
      </c>
      <c r="J84">
        <f>J81/J82</f>
        <v>43800</v>
      </c>
    </row>
    <row r="85" spans="2:25" x14ac:dyDescent="0.35">
      <c r="B85" s="5" t="s">
        <v>32</v>
      </c>
      <c r="C85" s="1">
        <v>50000</v>
      </c>
      <c r="D85" s="1">
        <v>60000</v>
      </c>
      <c r="E85" s="1">
        <v>10</v>
      </c>
      <c r="F85" s="1">
        <f t="shared" si="1"/>
        <v>55000</v>
      </c>
      <c r="G85" s="1">
        <f t="shared" si="2"/>
        <v>550000</v>
      </c>
    </row>
    <row r="86" spans="2:25" x14ac:dyDescent="0.35">
      <c r="B86" s="5" t="s">
        <v>33</v>
      </c>
      <c r="C86" s="1">
        <v>60000</v>
      </c>
      <c r="D86" s="1">
        <v>70000</v>
      </c>
      <c r="E86" s="1">
        <v>4</v>
      </c>
      <c r="F86" s="1">
        <f t="shared" si="1"/>
        <v>65000</v>
      </c>
      <c r="G86" s="1">
        <f t="shared" si="2"/>
        <v>260000</v>
      </c>
    </row>
    <row r="113" spans="2:11" x14ac:dyDescent="0.35">
      <c r="B113" s="19" t="s">
        <v>55</v>
      </c>
      <c r="C113" s="19"/>
      <c r="D113" s="19"/>
      <c r="E113" s="19"/>
      <c r="F113" s="19"/>
      <c r="G113" s="19"/>
      <c r="H113" s="19"/>
      <c r="I113" s="19"/>
      <c r="J113" s="19"/>
      <c r="K113" s="19"/>
    </row>
  </sheetData>
  <sortState xmlns:xlrd2="http://schemas.microsoft.com/office/spreadsheetml/2017/richdata2" columnSort="1" ref="B38:G39">
    <sortCondition descending="1" ref="B39:G39"/>
  </sortState>
  <mergeCells count="25">
    <mergeCell ref="B113:K113"/>
    <mergeCell ref="O43:Y43"/>
    <mergeCell ref="O44:Y44"/>
    <mergeCell ref="O45:Y45"/>
    <mergeCell ref="O79:Y79"/>
    <mergeCell ref="O80:Y80"/>
    <mergeCell ref="F49:I49"/>
    <mergeCell ref="B73:J73"/>
    <mergeCell ref="F44:I44"/>
    <mergeCell ref="F45:I45"/>
    <mergeCell ref="F47:I47"/>
    <mergeCell ref="C13:E13"/>
    <mergeCell ref="B36:L36"/>
    <mergeCell ref="F43:I43"/>
    <mergeCell ref="O81:Y81"/>
    <mergeCell ref="C29:K29"/>
    <mergeCell ref="C68:L68"/>
    <mergeCell ref="P37:W37"/>
    <mergeCell ref="P38:W38"/>
    <mergeCell ref="B1:M2"/>
    <mergeCell ref="B6:L6"/>
    <mergeCell ref="O2:Y2"/>
    <mergeCell ref="O5:Y5"/>
    <mergeCell ref="O3:Y3"/>
    <mergeCell ref="O4:Y4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3764-A0FC-41CC-A68D-D2B2FE00AD1D}">
  <dimension ref="B1:X91"/>
  <sheetViews>
    <sheetView showGridLines="0" topLeftCell="A62" zoomScale="58" zoomScaleNormal="40" workbookViewId="0">
      <selection activeCell="K107" sqref="K107"/>
    </sheetView>
  </sheetViews>
  <sheetFormatPr defaultRowHeight="14.5" x14ac:dyDescent="0.35"/>
  <cols>
    <col min="2" max="2" width="21.26953125" bestFit="1" customWidth="1"/>
    <col min="3" max="3" width="16.54296875" bestFit="1" customWidth="1"/>
    <col min="4" max="4" width="11.453125" bestFit="1" customWidth="1"/>
    <col min="5" max="5" width="16.54296875" bestFit="1" customWidth="1"/>
    <col min="6" max="6" width="11.453125" bestFit="1" customWidth="1"/>
    <col min="7" max="7" width="12.453125" bestFit="1" customWidth="1"/>
    <col min="8" max="8" width="6.453125" customWidth="1"/>
    <col min="11" max="11" width="26" customWidth="1"/>
  </cols>
  <sheetData>
    <row r="1" spans="2:21" x14ac:dyDescent="0.35">
      <c r="C1" s="14" t="s">
        <v>56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2:21" x14ac:dyDescent="0.35"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6" spans="2:21" ht="15.5" x14ac:dyDescent="0.35">
      <c r="B6" s="16" t="s">
        <v>57</v>
      </c>
      <c r="C6" s="16"/>
      <c r="D6" s="16"/>
      <c r="E6" s="16"/>
      <c r="F6" s="16"/>
      <c r="G6" s="16"/>
      <c r="H6" s="16"/>
      <c r="I6" s="16"/>
      <c r="J6" s="16"/>
      <c r="K6" s="16"/>
      <c r="L6" s="16"/>
    </row>
    <row r="8" spans="2:21" x14ac:dyDescent="0.35">
      <c r="B8" s="1" t="s">
        <v>58</v>
      </c>
      <c r="C8" s="1">
        <v>1</v>
      </c>
      <c r="D8" s="1">
        <v>4</v>
      </c>
      <c r="E8" s="1">
        <v>10</v>
      </c>
      <c r="F8" s="1">
        <v>2</v>
      </c>
      <c r="G8" s="1">
        <v>6</v>
      </c>
      <c r="H8" s="1">
        <v>9</v>
      </c>
      <c r="I8" s="1">
        <v>3</v>
      </c>
      <c r="J8" s="1">
        <v>7</v>
      </c>
      <c r="K8" s="1">
        <v>11</v>
      </c>
      <c r="L8" s="1">
        <v>5</v>
      </c>
      <c r="M8" s="1">
        <v>8</v>
      </c>
    </row>
    <row r="9" spans="2:21" x14ac:dyDescent="0.35">
      <c r="B9" s="1" t="s">
        <v>59</v>
      </c>
      <c r="C9" s="1">
        <v>2</v>
      </c>
      <c r="D9" s="1">
        <v>2</v>
      </c>
      <c r="E9" s="1">
        <v>2</v>
      </c>
      <c r="F9" s="1">
        <v>3</v>
      </c>
      <c r="G9" s="1">
        <v>3</v>
      </c>
      <c r="H9" s="7">
        <v>3</v>
      </c>
      <c r="I9" s="1">
        <v>4</v>
      </c>
      <c r="J9" s="1">
        <v>4</v>
      </c>
      <c r="K9" s="1">
        <v>4</v>
      </c>
      <c r="L9" s="1">
        <v>5</v>
      </c>
      <c r="M9" s="1">
        <v>6</v>
      </c>
    </row>
    <row r="12" spans="2:21" x14ac:dyDescent="0.35">
      <c r="D12" s="17" t="s">
        <v>60</v>
      </c>
      <c r="E12" s="17"/>
      <c r="F12" s="17"/>
      <c r="G12">
        <f>MEDIAN(C9:M9)</f>
        <v>3</v>
      </c>
      <c r="K12" s="11" t="s">
        <v>82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2:21" x14ac:dyDescent="0.35">
      <c r="K13" s="11" t="s">
        <v>83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2:21" x14ac:dyDescent="0.35">
      <c r="K14" s="11" t="s">
        <v>84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37" spans="2:22" ht="15.5" x14ac:dyDescent="0.35">
      <c r="B37" s="16" t="s">
        <v>61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</row>
    <row r="39" spans="2:22" x14ac:dyDescent="0.35">
      <c r="B39" s="1" t="s">
        <v>62</v>
      </c>
      <c r="C39" s="1">
        <v>2</v>
      </c>
      <c r="D39" s="1">
        <v>4</v>
      </c>
      <c r="E39" s="1">
        <v>6</v>
      </c>
      <c r="F39" s="1">
        <v>8</v>
      </c>
      <c r="G39" s="1">
        <v>10</v>
      </c>
    </row>
    <row r="40" spans="2:22" x14ac:dyDescent="0.35">
      <c r="B40" s="1" t="s">
        <v>17</v>
      </c>
      <c r="C40" s="1">
        <v>8</v>
      </c>
      <c r="D40" s="1">
        <v>15</v>
      </c>
      <c r="E40" s="1">
        <v>22</v>
      </c>
      <c r="F40" s="1">
        <v>18</v>
      </c>
      <c r="G40" s="1">
        <v>7</v>
      </c>
    </row>
    <row r="44" spans="2:22" x14ac:dyDescent="0.35">
      <c r="B44" s="2" t="s">
        <v>18</v>
      </c>
      <c r="C44" s="2" t="s">
        <v>19</v>
      </c>
      <c r="D44" s="2" t="s">
        <v>63</v>
      </c>
      <c r="F44" s="10" t="s">
        <v>64</v>
      </c>
      <c r="G44" s="10"/>
      <c r="H44" s="10"/>
      <c r="I44" s="10"/>
      <c r="J44">
        <v>70</v>
      </c>
      <c r="L44" s="11" t="s">
        <v>68</v>
      </c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2:22" x14ac:dyDescent="0.35">
      <c r="B45" s="1">
        <v>2</v>
      </c>
      <c r="C45" s="1">
        <v>8</v>
      </c>
      <c r="D45" s="1">
        <f>$C$45</f>
        <v>8</v>
      </c>
      <c r="F45" s="10" t="s">
        <v>65</v>
      </c>
      <c r="G45" s="10"/>
      <c r="H45" s="10"/>
      <c r="I45" s="10"/>
      <c r="J45" s="8">
        <f>D49/2</f>
        <v>35</v>
      </c>
      <c r="L45" s="11" t="s">
        <v>69</v>
      </c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2:22" x14ac:dyDescent="0.35">
      <c r="B46" s="1">
        <v>4</v>
      </c>
      <c r="C46" s="1">
        <v>15</v>
      </c>
      <c r="D46" s="1">
        <f>D45+C46</f>
        <v>23</v>
      </c>
      <c r="F46" s="10" t="s">
        <v>66</v>
      </c>
      <c r="G46" s="10"/>
      <c r="H46" s="10"/>
      <c r="I46" s="10"/>
      <c r="J46">
        <v>45</v>
      </c>
      <c r="L46" s="11" t="s">
        <v>70</v>
      </c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2:22" x14ac:dyDescent="0.35">
      <c r="B47" s="1">
        <v>6</v>
      </c>
      <c r="C47" s="1">
        <v>22</v>
      </c>
      <c r="D47" s="1">
        <f t="shared" ref="D47:D49" si="0">D46+C47</f>
        <v>45</v>
      </c>
    </row>
    <row r="48" spans="2:22" x14ac:dyDescent="0.35">
      <c r="B48" s="1">
        <v>8</v>
      </c>
      <c r="C48" s="1">
        <v>18</v>
      </c>
      <c r="D48" s="1">
        <f t="shared" si="0"/>
        <v>63</v>
      </c>
      <c r="F48" s="12" t="s">
        <v>67</v>
      </c>
      <c r="G48" s="12"/>
      <c r="H48" s="12"/>
      <c r="I48" s="12"/>
      <c r="J48">
        <v>6</v>
      </c>
    </row>
    <row r="49" spans="2:4" x14ac:dyDescent="0.35">
      <c r="B49" s="1">
        <v>10</v>
      </c>
      <c r="C49" s="1">
        <v>7</v>
      </c>
      <c r="D49" s="1">
        <f t="shared" si="0"/>
        <v>70</v>
      </c>
    </row>
    <row r="77" spans="2:10" x14ac:dyDescent="0.35">
      <c r="B77" s="13" t="s">
        <v>71</v>
      </c>
      <c r="C77" s="13"/>
      <c r="D77" s="13"/>
      <c r="E77" s="13"/>
      <c r="F77" s="13"/>
      <c r="G77" s="13"/>
      <c r="H77" s="13"/>
      <c r="I77" s="13"/>
      <c r="J77" s="13"/>
    </row>
    <row r="80" spans="2:10" x14ac:dyDescent="0.35">
      <c r="B80" s="1" t="s">
        <v>27</v>
      </c>
      <c r="C80" s="5" t="s">
        <v>29</v>
      </c>
      <c r="D80" s="5" t="s">
        <v>30</v>
      </c>
      <c r="E80" s="5" t="s">
        <v>31</v>
      </c>
      <c r="F80" s="5" t="s">
        <v>32</v>
      </c>
      <c r="G80" s="5" t="s">
        <v>33</v>
      </c>
    </row>
    <row r="81" spans="2:24" x14ac:dyDescent="0.35">
      <c r="B81" s="1" t="s">
        <v>28</v>
      </c>
      <c r="C81" s="1">
        <v>6</v>
      </c>
      <c r="D81" s="1">
        <v>12</v>
      </c>
      <c r="E81" s="1">
        <v>18</v>
      </c>
      <c r="F81" s="1">
        <v>10</v>
      </c>
      <c r="G81" s="1">
        <v>4</v>
      </c>
    </row>
    <row r="84" spans="2:24" x14ac:dyDescent="0.35">
      <c r="K84" s="3" t="s">
        <v>75</v>
      </c>
      <c r="L84">
        <v>40000</v>
      </c>
      <c r="N84" s="11" t="s">
        <v>79</v>
      </c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2:24" x14ac:dyDescent="0.35">
      <c r="B85" s="1" t="s">
        <v>27</v>
      </c>
      <c r="C85" s="1" t="s">
        <v>34</v>
      </c>
      <c r="D85" s="1" t="s">
        <v>35</v>
      </c>
      <c r="E85" s="1" t="s">
        <v>37</v>
      </c>
      <c r="F85" s="1" t="s">
        <v>63</v>
      </c>
      <c r="I85" s="10" t="s">
        <v>77</v>
      </c>
      <c r="J85" s="10"/>
      <c r="K85" s="10"/>
      <c r="L85">
        <f>F90</f>
        <v>50</v>
      </c>
      <c r="N85" s="11" t="s">
        <v>80</v>
      </c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2:24" x14ac:dyDescent="0.35">
      <c r="B86" s="5" t="s">
        <v>29</v>
      </c>
      <c r="C86" s="1">
        <v>20000</v>
      </c>
      <c r="D86" s="1">
        <v>30000</v>
      </c>
      <c r="E86" s="1">
        <v>6</v>
      </c>
      <c r="F86" s="1">
        <f>$E$86</f>
        <v>6</v>
      </c>
      <c r="I86" s="3"/>
      <c r="K86" s="3" t="s">
        <v>72</v>
      </c>
      <c r="L86">
        <f>L85/2</f>
        <v>25</v>
      </c>
      <c r="N86" s="11" t="s">
        <v>81</v>
      </c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2:24" x14ac:dyDescent="0.35">
      <c r="B87" s="5" t="s">
        <v>30</v>
      </c>
      <c r="C87" s="1">
        <v>30000</v>
      </c>
      <c r="D87" s="1">
        <v>40000</v>
      </c>
      <c r="E87" s="1">
        <v>12</v>
      </c>
      <c r="F87" s="1">
        <f>F86+E87</f>
        <v>18</v>
      </c>
      <c r="K87" s="3" t="s">
        <v>76</v>
      </c>
      <c r="L87">
        <v>18</v>
      </c>
    </row>
    <row r="88" spans="2:24" x14ac:dyDescent="0.35">
      <c r="B88" s="5" t="s">
        <v>31</v>
      </c>
      <c r="C88" s="1">
        <v>40000</v>
      </c>
      <c r="D88" s="1">
        <v>50000</v>
      </c>
      <c r="E88" s="1">
        <v>18</v>
      </c>
      <c r="F88" s="1">
        <f t="shared" ref="F88:F90" si="1">F87+E88</f>
        <v>36</v>
      </c>
      <c r="K88" s="3" t="s">
        <v>73</v>
      </c>
      <c r="L88">
        <v>18</v>
      </c>
    </row>
    <row r="89" spans="2:24" x14ac:dyDescent="0.35">
      <c r="B89" s="5" t="s">
        <v>32</v>
      </c>
      <c r="C89" s="1">
        <v>50000</v>
      </c>
      <c r="D89" s="1">
        <v>60000</v>
      </c>
      <c r="E89" s="1">
        <v>10</v>
      </c>
      <c r="F89" s="1">
        <f t="shared" si="1"/>
        <v>46</v>
      </c>
      <c r="K89" s="3" t="s">
        <v>74</v>
      </c>
      <c r="L89">
        <v>10000</v>
      </c>
    </row>
    <row r="90" spans="2:24" x14ac:dyDescent="0.35">
      <c r="B90" s="5" t="s">
        <v>33</v>
      </c>
      <c r="C90" s="1">
        <v>60000</v>
      </c>
      <c r="D90" s="1">
        <v>70000</v>
      </c>
      <c r="E90" s="1">
        <v>4</v>
      </c>
      <c r="F90" s="1">
        <f t="shared" si="1"/>
        <v>50</v>
      </c>
    </row>
    <row r="91" spans="2:24" x14ac:dyDescent="0.35">
      <c r="I91" s="10" t="s">
        <v>78</v>
      </c>
      <c r="J91" s="10"/>
      <c r="K91" s="10"/>
      <c r="L91">
        <f>L84+((L86-L87)/L88)*L89</f>
        <v>43888.888888888891</v>
      </c>
    </row>
  </sheetData>
  <sortState xmlns:xlrd2="http://schemas.microsoft.com/office/spreadsheetml/2017/richdata2" columnSort="1" ref="C8:M9">
    <sortCondition ref="C9:M9"/>
  </sortState>
  <mergeCells count="20">
    <mergeCell ref="B77:J77"/>
    <mergeCell ref="C1:N2"/>
    <mergeCell ref="B6:L6"/>
    <mergeCell ref="D12:F12"/>
    <mergeCell ref="B37:L37"/>
    <mergeCell ref="F44:I44"/>
    <mergeCell ref="F45:I45"/>
    <mergeCell ref="K12:U12"/>
    <mergeCell ref="K13:U13"/>
    <mergeCell ref="K14:U14"/>
    <mergeCell ref="F46:I46"/>
    <mergeCell ref="F48:I48"/>
    <mergeCell ref="L44:V44"/>
    <mergeCell ref="L45:V45"/>
    <mergeCell ref="L46:V46"/>
    <mergeCell ref="I85:K85"/>
    <mergeCell ref="I91:K91"/>
    <mergeCell ref="N84:X84"/>
    <mergeCell ref="N85:X85"/>
    <mergeCell ref="N86:X8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42CE-E87D-4588-AA66-BAB55573B97D}">
  <dimension ref="B1:X91"/>
  <sheetViews>
    <sheetView showGridLines="0" showRowColHeaders="0" tabSelected="1" topLeftCell="A68" zoomScale="74" workbookViewId="0">
      <selection activeCell="H91" sqref="H91"/>
    </sheetView>
  </sheetViews>
  <sheetFormatPr defaultRowHeight="14.5" x14ac:dyDescent="0.35"/>
  <cols>
    <col min="2" max="2" width="21.26953125" bestFit="1" customWidth="1"/>
    <col min="3" max="3" width="16.54296875" bestFit="1" customWidth="1"/>
    <col min="4" max="4" width="11.453125" bestFit="1" customWidth="1"/>
    <col min="5" max="5" width="23.1796875" bestFit="1" customWidth="1"/>
    <col min="6" max="6" width="11.453125" bestFit="1" customWidth="1"/>
    <col min="7" max="7" width="12.453125" bestFit="1" customWidth="1"/>
    <col min="8" max="8" width="11.54296875" customWidth="1"/>
    <col min="11" max="11" width="26" customWidth="1"/>
  </cols>
  <sheetData>
    <row r="1" spans="2:21" x14ac:dyDescent="0.35">
      <c r="C1" s="14" t="s">
        <v>85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2:21" x14ac:dyDescent="0.35"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5" spans="2:21" ht="19.5" customHeight="1" x14ac:dyDescent="0.35"/>
    <row r="6" spans="2:21" ht="25" customHeight="1" x14ac:dyDescent="0.35">
      <c r="B6" s="16" t="s">
        <v>86</v>
      </c>
      <c r="C6" s="16"/>
      <c r="D6" s="16"/>
      <c r="E6" s="16"/>
      <c r="F6" s="16"/>
      <c r="G6" s="16"/>
      <c r="H6" s="16"/>
      <c r="I6" s="16"/>
      <c r="J6" s="16"/>
      <c r="K6" s="16"/>
      <c r="L6" s="16"/>
    </row>
    <row r="8" spans="2:21" x14ac:dyDescent="0.35">
      <c r="B8" s="1" t="s">
        <v>58</v>
      </c>
      <c r="C8" s="1">
        <v>1</v>
      </c>
      <c r="D8" s="1">
        <v>2</v>
      </c>
      <c r="E8" s="1">
        <v>3</v>
      </c>
      <c r="F8" s="1">
        <v>4</v>
      </c>
      <c r="G8" s="1">
        <v>5</v>
      </c>
      <c r="H8" s="1">
        <v>6</v>
      </c>
      <c r="I8" s="1">
        <v>7</v>
      </c>
      <c r="J8" s="1">
        <v>8</v>
      </c>
      <c r="K8" s="1">
        <v>9</v>
      </c>
      <c r="L8" s="1">
        <v>10</v>
      </c>
      <c r="M8" s="1">
        <v>11</v>
      </c>
      <c r="N8" s="1">
        <v>12</v>
      </c>
    </row>
    <row r="9" spans="2:21" x14ac:dyDescent="0.35">
      <c r="B9" s="1" t="s">
        <v>59</v>
      </c>
      <c r="C9" s="1">
        <v>25</v>
      </c>
      <c r="D9" s="1">
        <v>30</v>
      </c>
      <c r="E9" s="1">
        <v>28</v>
      </c>
      <c r="F9" s="1">
        <v>30</v>
      </c>
      <c r="G9" s="1">
        <v>35</v>
      </c>
      <c r="H9" s="9">
        <v>30</v>
      </c>
      <c r="I9" s="1">
        <v>40</v>
      </c>
      <c r="J9" s="1">
        <v>32</v>
      </c>
      <c r="K9" s="1">
        <v>30</v>
      </c>
      <c r="L9" s="1">
        <v>38</v>
      </c>
      <c r="M9" s="1">
        <v>30</v>
      </c>
      <c r="N9" s="1">
        <v>42</v>
      </c>
    </row>
    <row r="12" spans="2:21" x14ac:dyDescent="0.35">
      <c r="D12" s="10" t="s">
        <v>87</v>
      </c>
      <c r="E12" s="10"/>
      <c r="F12" s="10"/>
      <c r="G12">
        <f>_xlfn.MODE.SNGL(C9:N9)</f>
        <v>30</v>
      </c>
      <c r="K12" s="11" t="s">
        <v>88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2:21" x14ac:dyDescent="0.35">
      <c r="K13" s="11" t="s">
        <v>89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2:21" x14ac:dyDescent="0.35"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35" spans="2:19" ht="15.5" x14ac:dyDescent="0.35">
      <c r="B35" s="16" t="s">
        <v>90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7" spans="2:19" x14ac:dyDescent="0.35">
      <c r="B37" s="1" t="s">
        <v>91</v>
      </c>
      <c r="C37" s="1">
        <v>1</v>
      </c>
      <c r="D37" s="1">
        <v>2</v>
      </c>
      <c r="E37" s="1">
        <v>3</v>
      </c>
      <c r="F37" s="1">
        <v>4</v>
      </c>
      <c r="G37" s="1">
        <v>5</v>
      </c>
    </row>
    <row r="38" spans="2:19" x14ac:dyDescent="0.35">
      <c r="B38" s="1" t="s">
        <v>92</v>
      </c>
      <c r="C38" s="1">
        <v>10</v>
      </c>
      <c r="D38" s="1">
        <v>18</v>
      </c>
      <c r="E38" s="1">
        <v>35</v>
      </c>
      <c r="F38" s="1">
        <v>60</v>
      </c>
      <c r="G38" s="1">
        <v>42</v>
      </c>
    </row>
    <row r="40" spans="2:19" x14ac:dyDescent="0.35">
      <c r="I40" s="11" t="s">
        <v>94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 spans="2:19" x14ac:dyDescent="0.35">
      <c r="I41" s="11" t="s">
        <v>95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2:19" x14ac:dyDescent="0.35">
      <c r="B42" s="2" t="s">
        <v>18</v>
      </c>
      <c r="C42" s="2" t="s">
        <v>19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2:19" x14ac:dyDescent="0.35">
      <c r="B43" s="1">
        <v>1</v>
      </c>
      <c r="C43" s="1">
        <v>10</v>
      </c>
      <c r="E43" t="s">
        <v>93</v>
      </c>
      <c r="F43">
        <v>4</v>
      </c>
    </row>
    <row r="44" spans="2:19" x14ac:dyDescent="0.35">
      <c r="B44" s="1">
        <v>2</v>
      </c>
      <c r="C44" s="1">
        <v>18</v>
      </c>
    </row>
    <row r="45" spans="2:19" x14ac:dyDescent="0.35">
      <c r="B45" s="1">
        <v>3</v>
      </c>
      <c r="C45" s="1">
        <v>35</v>
      </c>
    </row>
    <row r="46" spans="2:19" x14ac:dyDescent="0.35">
      <c r="B46" s="1">
        <v>4</v>
      </c>
      <c r="C46" s="1">
        <v>60</v>
      </c>
    </row>
    <row r="47" spans="2:19" x14ac:dyDescent="0.35">
      <c r="B47" s="1">
        <v>5</v>
      </c>
      <c r="C47" s="1">
        <v>42</v>
      </c>
    </row>
    <row r="76" spans="2:10" x14ac:dyDescent="0.35">
      <c r="B76" s="13" t="s">
        <v>71</v>
      </c>
      <c r="C76" s="13"/>
      <c r="D76" s="13"/>
      <c r="E76" s="13"/>
      <c r="F76" s="13"/>
      <c r="G76" s="13"/>
      <c r="H76" s="13"/>
      <c r="I76" s="13"/>
      <c r="J76" s="13"/>
    </row>
    <row r="79" spans="2:10" x14ac:dyDescent="0.35">
      <c r="B79" s="1" t="s">
        <v>27</v>
      </c>
      <c r="C79" s="5" t="s">
        <v>29</v>
      </c>
      <c r="D79" s="5" t="s">
        <v>30</v>
      </c>
      <c r="E79" s="5" t="s">
        <v>31</v>
      </c>
      <c r="F79" s="5" t="s">
        <v>32</v>
      </c>
      <c r="G79" s="5" t="s">
        <v>33</v>
      </c>
    </row>
    <row r="80" spans="2:10" x14ac:dyDescent="0.35">
      <c r="B80" s="1" t="s">
        <v>28</v>
      </c>
      <c r="C80" s="1">
        <v>6</v>
      </c>
      <c r="D80" s="1">
        <v>12</v>
      </c>
      <c r="E80" s="1">
        <v>18</v>
      </c>
      <c r="F80" s="1">
        <v>10</v>
      </c>
      <c r="G80" s="1">
        <v>4</v>
      </c>
    </row>
    <row r="83" spans="2:24" x14ac:dyDescent="0.35">
      <c r="N83" s="11" t="s">
        <v>79</v>
      </c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2:24" x14ac:dyDescent="0.35">
      <c r="B84" s="1" t="s">
        <v>27</v>
      </c>
      <c r="C84" s="1" t="s">
        <v>34</v>
      </c>
      <c r="D84" s="1" t="s">
        <v>35</v>
      </c>
      <c r="E84" s="1" t="s">
        <v>37</v>
      </c>
      <c r="N84" s="11" t="s">
        <v>80</v>
      </c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2:24" x14ac:dyDescent="0.35">
      <c r="B85" s="5" t="s">
        <v>29</v>
      </c>
      <c r="C85" s="1">
        <v>20000</v>
      </c>
      <c r="D85" s="1">
        <v>30000</v>
      </c>
      <c r="E85" s="1">
        <v>6</v>
      </c>
      <c r="G85" s="3" t="s">
        <v>75</v>
      </c>
      <c r="H85">
        <v>40000</v>
      </c>
      <c r="N85" s="11" t="s">
        <v>81</v>
      </c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2:24" x14ac:dyDescent="0.35">
      <c r="B86" s="5" t="s">
        <v>30</v>
      </c>
      <c r="C86" s="1">
        <v>30000</v>
      </c>
      <c r="D86" s="1">
        <v>40000</v>
      </c>
      <c r="E86" s="1">
        <v>12</v>
      </c>
      <c r="G86" s="3" t="s">
        <v>96</v>
      </c>
      <c r="H86">
        <v>12</v>
      </c>
    </row>
    <row r="87" spans="2:24" x14ac:dyDescent="0.35">
      <c r="B87" s="5" t="s">
        <v>31</v>
      </c>
      <c r="C87" s="1">
        <v>40000</v>
      </c>
      <c r="D87" s="1">
        <v>50000</v>
      </c>
      <c r="E87" s="1">
        <v>18</v>
      </c>
      <c r="G87" s="3" t="s">
        <v>97</v>
      </c>
      <c r="H87">
        <v>18</v>
      </c>
      <c r="I87">
        <f>H87*2</f>
        <v>36</v>
      </c>
    </row>
    <row r="88" spans="2:24" x14ac:dyDescent="0.35">
      <c r="B88" s="5" t="s">
        <v>32</v>
      </c>
      <c r="C88" s="1">
        <v>50000</v>
      </c>
      <c r="D88" s="1">
        <v>60000</v>
      </c>
      <c r="E88" s="1">
        <v>10</v>
      </c>
      <c r="G88" s="3" t="s">
        <v>98</v>
      </c>
      <c r="H88">
        <v>10</v>
      </c>
    </row>
    <row r="89" spans="2:24" x14ac:dyDescent="0.35">
      <c r="B89" s="5" t="s">
        <v>33</v>
      </c>
      <c r="C89" s="1">
        <v>60000</v>
      </c>
      <c r="D89" s="1">
        <v>70000</v>
      </c>
      <c r="E89" s="1">
        <v>4</v>
      </c>
      <c r="G89" s="3" t="s">
        <v>74</v>
      </c>
      <c r="H89">
        <v>10000</v>
      </c>
    </row>
    <row r="91" spans="2:24" x14ac:dyDescent="0.35">
      <c r="G91" s="3" t="s">
        <v>99</v>
      </c>
      <c r="H91">
        <f>H85+((H87-H86)/(I87-H86-H88))*H89</f>
        <v>44285.714285714283</v>
      </c>
    </row>
  </sheetData>
  <mergeCells count="14">
    <mergeCell ref="N84:X84"/>
    <mergeCell ref="N85:X85"/>
    <mergeCell ref="B35:L35"/>
    <mergeCell ref="C1:N2"/>
    <mergeCell ref="B6:L6"/>
    <mergeCell ref="D12:F12"/>
    <mergeCell ref="K12:U12"/>
    <mergeCell ref="K13:U13"/>
    <mergeCell ref="K14:U14"/>
    <mergeCell ref="I40:S40"/>
    <mergeCell ref="I41:S41"/>
    <mergeCell ref="I42:S42"/>
    <mergeCell ref="B76:J76"/>
    <mergeCell ref="N83:X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 </vt:lpstr>
      <vt:lpstr>Median</vt:lpstr>
      <vt:lpstr>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Lalchand Sahu</dc:creator>
  <cp:lastModifiedBy>Lalchand Sahu</cp:lastModifiedBy>
  <dcterms:created xsi:type="dcterms:W3CDTF">2026-07-09T10:35:05Z</dcterms:created>
  <dcterms:modified xsi:type="dcterms:W3CDTF">2026-07-16T05:39:55Z</dcterms:modified>
</cp:coreProperties>
</file>