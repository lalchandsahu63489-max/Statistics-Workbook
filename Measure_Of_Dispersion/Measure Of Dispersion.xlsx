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91a66a43e3c6cb/Data Analyst/Stats/"/>
    </mc:Choice>
  </mc:AlternateContent>
  <xr:revisionPtr revIDLastSave="2" documentId="8_{530C403A-41E5-41EF-9831-B649C421C760}" xr6:coauthVersionLast="47" xr6:coauthVersionMax="47" xr10:uidLastSave="{B538EA29-BC2F-4C74-92A5-FA661D2BC210}"/>
  <bookViews>
    <workbookView xWindow="-110" yWindow="-110" windowWidth="19420" windowHeight="11020" activeTab="1" xr2:uid="{CE1EB230-136C-4178-9D7A-00415FB96BE2}"/>
  </bookViews>
  <sheets>
    <sheet name="Range" sheetId="1" r:id="rId1"/>
    <sheet name="Std.Devi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" i="2" l="1"/>
  <c r="AC10" i="2"/>
  <c r="AC8" i="2"/>
  <c r="L50" i="2"/>
  <c r="L46" i="2"/>
  <c r="I48" i="2"/>
  <c r="I44" i="2"/>
  <c r="I45" i="2"/>
  <c r="I46" i="2"/>
  <c r="I47" i="2"/>
  <c r="I43" i="2"/>
  <c r="H44" i="2"/>
  <c r="H45" i="2"/>
  <c r="H46" i="2"/>
  <c r="H47" i="2"/>
  <c r="H43" i="2"/>
  <c r="G44" i="2"/>
  <c r="G45" i="2"/>
  <c r="G46" i="2"/>
  <c r="G47" i="2"/>
  <c r="G43" i="2"/>
  <c r="L42" i="2"/>
  <c r="F48" i="2"/>
  <c r="D48" i="2"/>
  <c r="F44" i="2"/>
  <c r="F45" i="2"/>
  <c r="F46" i="2"/>
  <c r="F47" i="2"/>
  <c r="F43" i="2"/>
  <c r="E44" i="2"/>
  <c r="E45" i="2"/>
  <c r="E46" i="2"/>
  <c r="E47" i="2"/>
  <c r="E43" i="2"/>
  <c r="K34" i="2"/>
  <c r="K30" i="2"/>
  <c r="E26" i="2"/>
  <c r="J26" i="2"/>
  <c r="C31" i="2"/>
  <c r="D27" i="2"/>
  <c r="D31" i="2" s="1"/>
  <c r="D28" i="2"/>
  <c r="D29" i="2"/>
  <c r="D30" i="2"/>
  <c r="D26" i="2"/>
  <c r="B13" i="2"/>
  <c r="I10" i="1"/>
  <c r="I50" i="1"/>
  <c r="F50" i="1"/>
  <c r="E27" i="1"/>
  <c r="E26" i="1"/>
  <c r="I28" i="1"/>
  <c r="F28" i="1"/>
  <c r="F10" i="1"/>
  <c r="D9" i="1"/>
  <c r="D8" i="1"/>
  <c r="E27" i="2" l="1"/>
  <c r="F27" i="2" s="1"/>
  <c r="G27" i="2" s="1"/>
  <c r="F26" i="2"/>
  <c r="G26" i="2" s="1"/>
  <c r="G31" i="2" s="1"/>
  <c r="E30" i="2"/>
  <c r="F30" i="2" s="1"/>
  <c r="G30" i="2" s="1"/>
  <c r="E29" i="2"/>
  <c r="F29" i="2" s="1"/>
  <c r="G29" i="2" s="1"/>
  <c r="E28" i="2"/>
  <c r="F28" i="2" s="1"/>
  <c r="G28" i="2" s="1"/>
  <c r="C9" i="2"/>
  <c r="D9" i="2" s="1"/>
  <c r="C10" i="2"/>
  <c r="D10" i="2" s="1"/>
  <c r="C11" i="2"/>
  <c r="D11" i="2" s="1"/>
  <c r="C12" i="2"/>
  <c r="D12" i="2" s="1"/>
  <c r="C8" i="2"/>
  <c r="D8" i="2" s="1"/>
  <c r="D13" i="2" l="1"/>
  <c r="H12" i="2" s="1"/>
  <c r="H16" i="2" s="1"/>
</calcChain>
</file>

<file path=xl/sharedStrings.xml><?xml version="1.0" encoding="utf-8"?>
<sst xmlns="http://schemas.openxmlformats.org/spreadsheetml/2006/main" count="83" uniqueCount="61">
  <si>
    <t>Q1. Monthly Sales in $</t>
  </si>
  <si>
    <t>Sales ($)</t>
  </si>
  <si>
    <t xml:space="preserve">Max = </t>
  </si>
  <si>
    <t xml:space="preserve">Min = </t>
  </si>
  <si>
    <t>Absolute</t>
  </si>
  <si>
    <t>Relative</t>
  </si>
  <si>
    <t xml:space="preserve">Range = </t>
  </si>
  <si>
    <t>Q2. The quality control team recorded the number of defective products produced in differenct production batches</t>
  </si>
  <si>
    <t>Frequency</t>
  </si>
  <si>
    <t>Defective  Itmes</t>
  </si>
  <si>
    <t>Q3. An e-commerce company recorded the delivery ( in days) for customers orders. Analyze the delivey time distribution</t>
  </si>
  <si>
    <t xml:space="preserve"> 2 - 4</t>
  </si>
  <si>
    <t xml:space="preserve"> 4 - 6</t>
  </si>
  <si>
    <t xml:space="preserve"> 6 - 8</t>
  </si>
  <si>
    <t xml:space="preserve"> 8 - 10</t>
  </si>
  <si>
    <t>10 - 12</t>
  </si>
  <si>
    <t>Range =</t>
  </si>
  <si>
    <t xml:space="preserve">Monthly sales are not consistent </t>
  </si>
  <si>
    <t>Some Months have very low sales, while others have very high sales.</t>
  </si>
  <si>
    <t>Sales May be affected by seasonal demand</t>
  </si>
  <si>
    <t>Marketing campaigns may have different impacts across months</t>
  </si>
  <si>
    <t>The business shuould improve sales consistency</t>
  </si>
  <si>
    <t>Promble ?</t>
  </si>
  <si>
    <t>Insight</t>
  </si>
  <si>
    <t>The number of defective products varies significantly</t>
  </si>
  <si>
    <t>The manufacturing process is not consistent.</t>
  </si>
  <si>
    <t>Quality control may be ineffective.</t>
  </si>
  <si>
    <t>Machine maintencance or employee trainin may required.</t>
  </si>
  <si>
    <t>Dilivery times show high variation.</t>
  </si>
  <si>
    <t>The logisstics process  is not stable</t>
  </si>
  <si>
    <t>me customers receive deliveries quickl, while others experience delays</t>
  </si>
  <si>
    <t xml:space="preserve">The business should improve delivery routes warehouse operations or courier performance </t>
  </si>
  <si>
    <t>Q. Monthy Salary</t>
  </si>
  <si>
    <t>Salary(X)</t>
  </si>
  <si>
    <t>x(mean)</t>
  </si>
  <si>
    <t>(X-x)</t>
  </si>
  <si>
    <t>Calculate the Variance:</t>
  </si>
  <si>
    <t>(X-x)^2</t>
  </si>
  <si>
    <t>Variance</t>
  </si>
  <si>
    <t>Sample Standard Deviation</t>
  </si>
  <si>
    <t>S.d</t>
  </si>
  <si>
    <t>X</t>
  </si>
  <si>
    <t>f</t>
  </si>
  <si>
    <t>fX</t>
  </si>
  <si>
    <t>mean</t>
  </si>
  <si>
    <t>(X-mean)</t>
  </si>
  <si>
    <t>(X-mean)^2</t>
  </si>
  <si>
    <t>Mean</t>
  </si>
  <si>
    <t>f*(X-mean^2)</t>
  </si>
  <si>
    <t>Q. The following table shows the frequency distribution of marks obtained by students.</t>
  </si>
  <si>
    <t>Q. The following table shows the marks obtained by students in a test.</t>
  </si>
  <si>
    <t>Mark</t>
  </si>
  <si>
    <t>lower</t>
  </si>
  <si>
    <t>upper</t>
  </si>
  <si>
    <t>Midpoint</t>
  </si>
  <si>
    <t>(f*midpoint)</t>
  </si>
  <si>
    <t>(m- mean)</t>
  </si>
  <si>
    <t>(m-mean^2)</t>
  </si>
  <si>
    <t>f*(m-mean^2)</t>
  </si>
  <si>
    <t>Variance =1000</t>
  </si>
  <si>
    <t>S.d = 31.62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</si>
</sst>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164" fontId="0" fillId="0" borderId="0" xfId="0" applyNumberFormat="1"/>
    <xf numFmtId="0" fontId="0" fillId="0" borderId="1" xfId="0" applyBorder="1" applyAlignment="1">
      <alignment horizontal="right"/>
    </xf>
    <xf numFmtId="49" fontId="0" fillId="0" borderId="1" xfId="0" applyNumberFormat="1" applyBorder="1"/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/>
    <xf numFmtId="2" fontId="0" fillId="0" borderId="0" xfId="0" applyNumberFormat="1"/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6.xml"/><Relationship Id="rId18" Type="http://schemas.openxmlformats.org/officeDocument/2006/relationships/image" Target="../media/image10.png"/><Relationship Id="rId26" Type="http://schemas.openxmlformats.org/officeDocument/2006/relationships/image" Target="../media/image14.png"/><Relationship Id="rId3" Type="http://schemas.openxmlformats.org/officeDocument/2006/relationships/image" Target="../media/image3.png"/><Relationship Id="rId21" Type="http://schemas.openxmlformats.org/officeDocument/2006/relationships/customXml" Target="../ink/ink10.xml"/><Relationship Id="rId34" Type="http://schemas.openxmlformats.org/officeDocument/2006/relationships/customXml" Target="../ink/ink17.xml"/><Relationship Id="rId7" Type="http://schemas.openxmlformats.org/officeDocument/2006/relationships/customXml" Target="../ink/ink3.xml"/><Relationship Id="rId12" Type="http://schemas.openxmlformats.org/officeDocument/2006/relationships/image" Target="../media/image7.png"/><Relationship Id="rId17" Type="http://schemas.openxmlformats.org/officeDocument/2006/relationships/customXml" Target="../ink/ink8.xml"/><Relationship Id="rId25" Type="http://schemas.openxmlformats.org/officeDocument/2006/relationships/customXml" Target="../ink/ink12.xml"/><Relationship Id="rId33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20" Type="http://schemas.openxmlformats.org/officeDocument/2006/relationships/image" Target="../media/image11.png"/><Relationship Id="rId29" Type="http://schemas.openxmlformats.org/officeDocument/2006/relationships/customXml" Target="../ink/ink14.xml"/><Relationship Id="rId1" Type="http://schemas.openxmlformats.org/officeDocument/2006/relationships/image" Target="../media/image1.png"/><Relationship Id="rId6" Type="http://schemas.openxmlformats.org/officeDocument/2006/relationships/customXml" Target="../ink/ink2.xml"/><Relationship Id="rId11" Type="http://schemas.openxmlformats.org/officeDocument/2006/relationships/customXml" Target="../ink/ink5.xml"/><Relationship Id="rId24" Type="http://schemas.openxmlformats.org/officeDocument/2006/relationships/image" Target="../media/image13.png"/><Relationship Id="rId32" Type="http://schemas.openxmlformats.org/officeDocument/2006/relationships/customXml" Target="../ink/ink16.xml"/><Relationship Id="rId5" Type="http://schemas.openxmlformats.org/officeDocument/2006/relationships/image" Target="../media/image4.png"/><Relationship Id="rId15" Type="http://schemas.openxmlformats.org/officeDocument/2006/relationships/customXml" Target="../ink/ink7.xml"/><Relationship Id="rId23" Type="http://schemas.openxmlformats.org/officeDocument/2006/relationships/customXml" Target="../ink/ink11.xml"/><Relationship Id="rId28" Type="http://schemas.openxmlformats.org/officeDocument/2006/relationships/image" Target="../media/image15.png"/><Relationship Id="rId10" Type="http://schemas.openxmlformats.org/officeDocument/2006/relationships/image" Target="../media/image6.png"/><Relationship Id="rId19" Type="http://schemas.openxmlformats.org/officeDocument/2006/relationships/customXml" Target="../ink/ink9.xml"/><Relationship Id="rId31" Type="http://schemas.openxmlformats.org/officeDocument/2006/relationships/image" Target="../media/image16.png"/><Relationship Id="rId4" Type="http://schemas.openxmlformats.org/officeDocument/2006/relationships/customXml" Target="../ink/ink1.xml"/><Relationship Id="rId9" Type="http://schemas.openxmlformats.org/officeDocument/2006/relationships/customXml" Target="../ink/ink4.xml"/><Relationship Id="rId14" Type="http://schemas.openxmlformats.org/officeDocument/2006/relationships/image" Target="../media/image8.png"/><Relationship Id="rId22" Type="http://schemas.openxmlformats.org/officeDocument/2006/relationships/image" Target="../media/image12.png"/><Relationship Id="rId27" Type="http://schemas.openxmlformats.org/officeDocument/2006/relationships/customXml" Target="../ink/ink13.xml"/><Relationship Id="rId30" Type="http://schemas.openxmlformats.org/officeDocument/2006/relationships/customXml" Target="../ink/ink15.xml"/><Relationship Id="rId35" Type="http://schemas.openxmlformats.org/officeDocument/2006/relationships/image" Target="../media/image18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275166</xdr:colOff>
      <xdr:row>8</xdr:row>
      <xdr:rowOff>125433</xdr:rowOff>
    </xdr:from>
    <xdr:to>
      <xdr:col>14</xdr:col>
      <xdr:colOff>7917</xdr:colOff>
      <xdr:row>12</xdr:row>
      <xdr:rowOff>2273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0B232D-01E6-9269-43DE-C326FE883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3685" y="1567902"/>
          <a:ext cx="2437380" cy="598075"/>
        </a:xfrm>
        <a:prstGeom prst="rect">
          <a:avLst/>
        </a:prstGeom>
      </xdr:spPr>
    </xdr:pic>
    <xdr:clientData/>
  </xdr:twoCellAnchor>
  <xdr:twoCellAnchor editAs="oneCell">
    <xdr:from>
      <xdr:col>10</xdr:col>
      <xdr:colOff>266543</xdr:colOff>
      <xdr:row>15</xdr:row>
      <xdr:rowOff>7837</xdr:rowOff>
    </xdr:from>
    <xdr:to>
      <xdr:col>14</xdr:col>
      <xdr:colOff>19985</xdr:colOff>
      <xdr:row>18</xdr:row>
      <xdr:rowOff>101911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1C0AA6-3568-F286-B139-3AB2C473D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5062" y="2712467"/>
          <a:ext cx="2458071" cy="635001"/>
        </a:xfrm>
        <a:prstGeom prst="rect">
          <a:avLst/>
        </a:prstGeom>
      </xdr:spPr>
    </xdr:pic>
    <xdr:clientData/>
  </xdr:twoCellAnchor>
  <xdr:twoCellAnchor editAs="oneCell">
    <xdr:from>
      <xdr:col>10</xdr:col>
      <xdr:colOff>273016</xdr:colOff>
      <xdr:row>11</xdr:row>
      <xdr:rowOff>133271</xdr:rowOff>
    </xdr:from>
    <xdr:to>
      <xdr:col>14</xdr:col>
      <xdr:colOff>39198</xdr:colOff>
      <xdr:row>15</xdr:row>
      <xdr:rowOff>39198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F5FA00-1FEB-7A22-89BC-F4BE7D87C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81535" y="2116666"/>
          <a:ext cx="2470811" cy="627161"/>
        </a:xfrm>
        <a:prstGeom prst="rect">
          <a:avLst/>
        </a:prstGeom>
      </xdr:spPr>
    </xdr:pic>
    <xdr:clientData/>
  </xdr:twoCellAnchor>
  <xdr:twoCellAnchor editAs="oneCell">
    <xdr:from>
      <xdr:col>19</xdr:col>
      <xdr:colOff>560583</xdr:colOff>
      <xdr:row>17</xdr:row>
      <xdr:rowOff>57384</xdr:rowOff>
    </xdr:from>
    <xdr:to>
      <xdr:col>19</xdr:col>
      <xdr:colOff>560943</xdr:colOff>
      <xdr:row>17</xdr:row>
      <xdr:rowOff>57744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BB66B6BA-3136-B429-17C3-CDD59D506F6B}"/>
                </a:ext>
              </a:extLst>
            </xdr14:cNvPr>
            <xdr14:cNvContentPartPr/>
          </xdr14:nvContentPartPr>
          <xdr14:nvPr macro=""/>
          <xdr14:xfrm>
            <a:off x="13310064" y="3224137"/>
            <a:ext cx="360" cy="36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BB66B6BA-3136-B429-17C3-CDD59D506F6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301424" y="321549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560583</xdr:colOff>
      <xdr:row>17</xdr:row>
      <xdr:rowOff>57384</xdr:rowOff>
    </xdr:from>
    <xdr:to>
      <xdr:col>19</xdr:col>
      <xdr:colOff>560943</xdr:colOff>
      <xdr:row>17</xdr:row>
      <xdr:rowOff>57744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41E27015-22B6-E3C3-1CD8-F143F5ABE23C}"/>
                </a:ext>
              </a:extLst>
            </xdr14:cNvPr>
            <xdr14:cNvContentPartPr/>
          </xdr14:nvContentPartPr>
          <xdr14:nvPr macro=""/>
          <xdr14:xfrm>
            <a:off x="13310064" y="3224137"/>
            <a:ext cx="360" cy="36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41E27015-22B6-E3C3-1CD8-F143F5ABE23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301424" y="321549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593823</xdr:colOff>
      <xdr:row>18</xdr:row>
      <xdr:rowOff>181235</xdr:rowOff>
    </xdr:from>
    <xdr:to>
      <xdr:col>18</xdr:col>
      <xdr:colOff>400443</xdr:colOff>
      <xdr:row>19</xdr:row>
      <xdr:rowOff>26807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D0EF1430-025F-7866-2CA8-27E109D26CDF}"/>
                </a:ext>
              </a:extLst>
            </xdr14:cNvPr>
            <xdr14:cNvContentPartPr/>
          </xdr14:nvContentPartPr>
          <xdr14:nvPr macro=""/>
          <xdr14:xfrm>
            <a:off x="12122784" y="3529417"/>
            <a:ext cx="416880" cy="27000"/>
          </xdr14:xfrm>
        </xdr:contentPart>
      </mc:Choice>
      <mc:Fallback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D0EF1430-025F-7866-2CA8-27E109D26CD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2113784" y="3520777"/>
              <a:ext cx="434520" cy="4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403683</xdr:colOff>
      <xdr:row>19</xdr:row>
      <xdr:rowOff>16367</xdr:rowOff>
    </xdr:from>
    <xdr:to>
      <xdr:col>27</xdr:col>
      <xdr:colOff>75801</xdr:colOff>
      <xdr:row>19</xdr:row>
      <xdr:rowOff>17087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F1E4DE3B-8163-9450-F9C7-0B1447565718}"/>
                </a:ext>
              </a:extLst>
            </xdr14:cNvPr>
            <xdr14:cNvContentPartPr/>
          </xdr14:nvContentPartPr>
          <xdr14:nvPr macro=""/>
          <xdr14:xfrm>
            <a:off x="12542904" y="3545977"/>
            <a:ext cx="5585040" cy="72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F1E4DE3B-8163-9450-F9C7-0B144756571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533904" y="3527977"/>
              <a:ext cx="560268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346216</xdr:colOff>
      <xdr:row>18</xdr:row>
      <xdr:rowOff>144158</xdr:rowOff>
    </xdr:from>
    <xdr:to>
      <xdr:col>22</xdr:col>
      <xdr:colOff>362056</xdr:colOff>
      <xdr:row>19</xdr:row>
      <xdr:rowOff>90884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73B438D6-5141-9CD4-5480-D2DDC393BDB6}"/>
                </a:ext>
              </a:extLst>
            </xdr14:cNvPr>
            <xdr14:cNvContentPartPr/>
          </xdr14:nvContentPartPr>
          <xdr14:nvPr macro=""/>
          <xdr14:xfrm rot="1">
            <a:off x="15107904" y="3492340"/>
            <a:ext cx="15840" cy="128154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73B438D6-5141-9CD4-5480-D2DDC393BDB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 rot="1">
              <a:off x="15098904" y="3483340"/>
              <a:ext cx="33480" cy="1457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201361</xdr:colOff>
      <xdr:row>18</xdr:row>
      <xdr:rowOff>143459</xdr:rowOff>
    </xdr:from>
    <xdr:to>
      <xdr:col>23</xdr:col>
      <xdr:colOff>211359</xdr:colOff>
      <xdr:row>19</xdr:row>
      <xdr:rowOff>33263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75718CA6-042C-5606-500D-505BF0CB7B13}"/>
                </a:ext>
              </a:extLst>
            </xdr14:cNvPr>
            <xdr14:cNvContentPartPr/>
          </xdr14:nvContentPartPr>
          <xdr14:nvPr macro=""/>
          <xdr14:xfrm rot="-856800">
            <a:off x="15812465" y="3491641"/>
            <a:ext cx="9998" cy="71232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75718CA6-042C-5606-500D-505BF0CB7B13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 rot="-856800">
              <a:off x="15803538" y="3482647"/>
              <a:ext cx="27495" cy="888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221480</xdr:colOff>
      <xdr:row>18</xdr:row>
      <xdr:rowOff>132995</xdr:rowOff>
    </xdr:from>
    <xdr:to>
      <xdr:col>23</xdr:col>
      <xdr:colOff>296360</xdr:colOff>
      <xdr:row>19</xdr:row>
      <xdr:rowOff>149927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36F2E5A5-27EA-991D-B29B-B192A8457811}"/>
                </a:ext>
              </a:extLst>
            </xdr14:cNvPr>
            <xdr14:cNvContentPartPr/>
          </xdr14:nvContentPartPr>
          <xdr14:nvPr macro=""/>
          <xdr14:xfrm>
            <a:off x="15832584" y="3481177"/>
            <a:ext cx="74880" cy="198360"/>
          </xdr14:xfrm>
        </xdr:contentPart>
      </mc:Choice>
      <mc:Fallback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36F2E5A5-27EA-991D-B29B-B192A845781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5823584" y="3472177"/>
              <a:ext cx="9252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395660</xdr:colOff>
      <xdr:row>18</xdr:row>
      <xdr:rowOff>115355</xdr:rowOff>
    </xdr:from>
    <xdr:to>
      <xdr:col>24</xdr:col>
      <xdr:colOff>428780</xdr:colOff>
      <xdr:row>19</xdr:row>
      <xdr:rowOff>90887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628F5AD5-DE2E-3897-6DC8-AF03CB2E71C3}"/>
                </a:ext>
              </a:extLst>
            </xdr14:cNvPr>
            <xdr14:cNvContentPartPr/>
          </xdr14:nvContentPartPr>
          <xdr14:nvPr macro=""/>
          <xdr14:xfrm>
            <a:off x="16617024" y="3463537"/>
            <a:ext cx="33120" cy="156960"/>
          </xdr14:xfrm>
        </xdr:contentPart>
      </mc:Choice>
      <mc:Fallback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628F5AD5-DE2E-3897-6DC8-AF03CB2E71C3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6608024" y="3454537"/>
              <a:ext cx="50760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478041</xdr:colOff>
      <xdr:row>18</xdr:row>
      <xdr:rowOff>123275</xdr:rowOff>
    </xdr:from>
    <xdr:to>
      <xdr:col>25</xdr:col>
      <xdr:colOff>487041</xdr:colOff>
      <xdr:row>19</xdr:row>
      <xdr:rowOff>96287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E239A45B-60AC-FB4F-9EC1-71F77A9F0417}"/>
                </a:ext>
              </a:extLst>
            </xdr14:cNvPr>
            <xdr14:cNvContentPartPr/>
          </xdr14:nvContentPartPr>
          <xdr14:nvPr macro=""/>
          <xdr14:xfrm>
            <a:off x="17309664" y="3471457"/>
            <a:ext cx="9000" cy="154440"/>
          </xdr14:xfrm>
        </xdr:contentPart>
      </mc:Choice>
      <mc:Fallback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E239A45B-60AC-FB4F-9EC1-71F77A9F041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7300664" y="3462817"/>
              <a:ext cx="2664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205515</xdr:colOff>
      <xdr:row>18</xdr:row>
      <xdr:rowOff>140195</xdr:rowOff>
    </xdr:from>
    <xdr:to>
      <xdr:col>21</xdr:col>
      <xdr:colOff>223875</xdr:colOff>
      <xdr:row>19</xdr:row>
      <xdr:rowOff>158927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6F22980E-0722-DFC8-0A16-AD9C336BFB18}"/>
                </a:ext>
              </a:extLst>
            </xdr14:cNvPr>
            <xdr14:cNvContentPartPr/>
          </xdr14:nvContentPartPr>
          <xdr14:nvPr macro=""/>
          <xdr14:xfrm>
            <a:off x="14356944" y="3488377"/>
            <a:ext cx="18360" cy="20016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6F22980E-0722-DFC8-0A16-AD9C336BFB18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4348304" y="3479737"/>
              <a:ext cx="36000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213495</xdr:colOff>
      <xdr:row>18</xdr:row>
      <xdr:rowOff>148115</xdr:rowOff>
    </xdr:from>
    <xdr:to>
      <xdr:col>20</xdr:col>
      <xdr:colOff>238695</xdr:colOff>
      <xdr:row>19</xdr:row>
      <xdr:rowOff>138047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CE77D4BA-8A7C-5039-2B55-B4D199600172}"/>
                </a:ext>
              </a:extLst>
            </xdr14:cNvPr>
            <xdr14:cNvContentPartPr/>
          </xdr14:nvContentPartPr>
          <xdr14:nvPr macro=""/>
          <xdr14:xfrm>
            <a:off x="13754664" y="3496297"/>
            <a:ext cx="25200" cy="171360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CE77D4BA-8A7C-5039-2B55-B4D199600172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3746024" y="3487657"/>
              <a:ext cx="4284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387423</xdr:colOff>
      <xdr:row>18</xdr:row>
      <xdr:rowOff>98435</xdr:rowOff>
    </xdr:from>
    <xdr:to>
      <xdr:col>19</xdr:col>
      <xdr:colOff>401463</xdr:colOff>
      <xdr:row>19</xdr:row>
      <xdr:rowOff>151007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2225A9CC-972C-C969-195B-52B53C851732}"/>
                </a:ext>
              </a:extLst>
            </xdr14:cNvPr>
            <xdr14:cNvContentPartPr/>
          </xdr14:nvContentPartPr>
          <xdr14:nvPr macro=""/>
          <xdr14:xfrm>
            <a:off x="13136904" y="3446617"/>
            <a:ext cx="14040" cy="234000"/>
          </xdr14:xfrm>
        </xdr:contentPart>
      </mc:Choice>
      <mc:Fallback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2225A9CC-972C-C969-195B-52B53C851732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3127904" y="3437977"/>
              <a:ext cx="31680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490083</xdr:colOff>
      <xdr:row>18</xdr:row>
      <xdr:rowOff>140195</xdr:rowOff>
    </xdr:from>
    <xdr:to>
      <xdr:col>18</xdr:col>
      <xdr:colOff>503403</xdr:colOff>
      <xdr:row>19</xdr:row>
      <xdr:rowOff>90527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968FE3F1-2BF6-0ABB-F699-52D607C11707}"/>
                </a:ext>
              </a:extLst>
            </xdr14:cNvPr>
            <xdr14:cNvContentPartPr/>
          </xdr14:nvContentPartPr>
          <xdr14:nvPr macro=""/>
          <xdr14:xfrm>
            <a:off x="12629304" y="3488377"/>
            <a:ext cx="13320" cy="131760"/>
          </xdr14:xfrm>
        </xdr:contentPart>
      </mc:Choice>
      <mc:Fallback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968FE3F1-2BF6-0ABB-F699-52D607C11707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2620304" y="3479737"/>
              <a:ext cx="3096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791176</xdr:colOff>
      <xdr:row>7</xdr:row>
      <xdr:rowOff>140069</xdr:rowOff>
    </xdr:from>
    <xdr:to>
      <xdr:col>22</xdr:col>
      <xdr:colOff>791536</xdr:colOff>
      <xdr:row>7</xdr:row>
      <xdr:rowOff>140429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E0F9F1D3-AE17-A862-FC0D-6ACC703BCE50}"/>
                </a:ext>
              </a:extLst>
            </xdr14:cNvPr>
            <xdr14:cNvContentPartPr/>
          </xdr14:nvContentPartPr>
          <xdr14:nvPr macro=""/>
          <xdr14:xfrm>
            <a:off x="15552864" y="1492537"/>
            <a:ext cx="360" cy="360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E0F9F1D3-AE17-A862-FC0D-6ACC703BCE5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5544224" y="148353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593481</xdr:colOff>
      <xdr:row>19</xdr:row>
      <xdr:rowOff>148127</xdr:rowOff>
    </xdr:from>
    <xdr:to>
      <xdr:col>21</xdr:col>
      <xdr:colOff>610041</xdr:colOff>
      <xdr:row>21</xdr:row>
      <xdr:rowOff>8829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9E12CEAA-2EF3-3FEB-7E25-FB20B64E0957}"/>
                </a:ext>
              </a:extLst>
            </xdr14:cNvPr>
            <xdr14:cNvContentPartPr/>
          </xdr14:nvContentPartPr>
          <xdr14:nvPr macro=""/>
          <xdr14:xfrm>
            <a:off x="14744910" y="3677737"/>
            <a:ext cx="16560" cy="223560"/>
          </xdr14:xfrm>
        </xdr:contentPart>
      </mc:Choice>
      <mc:Fallback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9E12CEAA-2EF3-3FEB-7E25-FB20B64E095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4727270" y="3659737"/>
              <a:ext cx="52200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88342</xdr:colOff>
      <xdr:row>20</xdr:row>
      <xdr:rowOff>24658</xdr:rowOff>
    </xdr:from>
    <xdr:to>
      <xdr:col>22</xdr:col>
      <xdr:colOff>521782</xdr:colOff>
      <xdr:row>21</xdr:row>
      <xdr:rowOff>39789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4D803FE8-0B8B-C04F-4154-92F86B761C5B}"/>
                </a:ext>
              </a:extLst>
            </xdr14:cNvPr>
            <xdr14:cNvContentPartPr/>
          </xdr14:nvContentPartPr>
          <xdr14:nvPr macro=""/>
          <xdr14:xfrm>
            <a:off x="14850030" y="3735697"/>
            <a:ext cx="433440" cy="196560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4D803FE8-0B8B-C04F-4154-92F86B761C5B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4832375" y="3718057"/>
              <a:ext cx="46911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164846</xdr:colOff>
      <xdr:row>20</xdr:row>
      <xdr:rowOff>49498</xdr:rowOff>
    </xdr:from>
    <xdr:to>
      <xdr:col>23</xdr:col>
      <xdr:colOff>373286</xdr:colOff>
      <xdr:row>21</xdr:row>
      <xdr:rowOff>47349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77680400-DFEE-4F52-161C-7E5AACADA780}"/>
                </a:ext>
              </a:extLst>
            </xdr14:cNvPr>
            <xdr14:cNvContentPartPr/>
          </xdr14:nvContentPartPr>
          <xdr14:nvPr macro=""/>
          <xdr14:xfrm>
            <a:off x="15775950" y="3760537"/>
            <a:ext cx="208440" cy="17928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77680400-DFEE-4F52-161C-7E5AACADA78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5758310" y="3742537"/>
              <a:ext cx="244080" cy="214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9:59:56.3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09:59:56.5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0:20.3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24575,'54'3'0,"99"17"0,-97-10 0,84 3 0,-73-14 0,-41 0 0,-1 1 0,1 0 0,0 2 0,30 6 0,-11 0 0,0-2 0,0-2 0,0-2 0,54-5 0,-6 1 0,-54 3 198,-24 0-510,-1 0-1,1-2 0,0 1 1,29-7-1,-30 2-6513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0:22.0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23237,'15513'0'0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0:34.1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24557,'0'356'0,"44"-400"0,-69-240 0,6 256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0:42.5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23933,'0'153'0,"27"-108"0,-27-197 0,-27 106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0:46.1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 43 24575,'7'-1'0,"0"1"0,0 1 0,-1-1 0,1 1 0,0 0 0,8 3 0,-12-3 0,0 1 0,-1-1 0,1 1 0,-1 0 0,1 0 0,-1 0 0,1 0 0,-1 0 0,0 0 0,0 1 0,0-1 0,0 1 0,-1-1 0,1 1 0,2 5 0,0 4 0,0-1 0,0 1 0,-1 0 0,-1-1 0,0 1 0,-1 1 0,0 19 0,0-15 0,0 0 0,7 33 0,-2-22 0,3 51 0,-8-59 0,1-1 0,1 1 0,1-1 0,0 0 0,11 29 0,-15-48 0,0 1 0,1-1 0,-1 1 0,0-1 0,0 1 0,0 0 0,1-1 0,-1 1 0,0-1 0,1 1 0,-1-1 0,0 1 0,1-1 0,-1 0 0,0 1 0,1-1 0,-1 1 0,1-1 0,-1 0 0,1 1 0,-1-1 0,2 1 0,1-11 0,-4-23 0,-4 6 0,-1 0 0,-1 1 0,-22-51 0,13 34 0,14 35 0,0 0 0,-1 0 0,0 1 0,0 0 0,-1-1 0,0 1 0,0 0 0,-1 1 0,0-1 0,-7-6 0,4 5-72,-1 0 1,1 0-1,1 0 0,-1-1 0,1 0 0,1-1 0,0 1 0,0-1 1,1 0-1,0-1 0,1 1 0,0-1 0,1 0 0,0 0 0,1 0 1,0 0-1,1-1 0,-1-12 0,2 4-6754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0:48.1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24533,'92'436'0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0:51.9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24575,'1'11'0,"0"1"0,1-1 0,5 19 0,3 22 0,-7 183 0,-4-159 0,1-91-1365,1-5-5461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0:54.7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1 24575,'-1'16'0,"1"1"0,0 0 0,2-1 0,0 1 0,0-1 0,2 1 0,0-1 0,10 25 0,-10-29 0,0-1 0,0 1 0,-1 0 0,-1 0 0,0 0 0,1 16 0,-4 76 0,-1-47 0,1 65 0,1-201-1365,0 46-5461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0:56.4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1 24575,'-1'89'0,"3"98"0,9-131 0,-7-43 0,-1 1 0,1 18 0,-4 2 0,2 13 0,1-44 0,2-9 0,5-13 0,-10 19 0,12-30-1365,1-2-5461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0:58.0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24575,'1'82'0,"12"94"0,-5-73 0,-6 121 0,-3-160 0,11-223-1365,-5 110-5461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0:59.9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 1 24575,'-1'23'0,"0"0"0,-2 1 0,-6 28 0,5-30 0,2 1 0,1 47 0,1-48 0,0 1 0,-7 43 0,1-50 0,4-16 0,3-9 0,12-67-1365,-6 47-5461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1:11.6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3:47.03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19434,'45'620'0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3:49.71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30 184 8192,'-1'64'6028,"2"75"-588,0-135-5440,0-1 0,-1 1 0,1 0 0,1-1 0,-1 1 0,0-1 0,1 1 0,0-1 0,0 1 0,0-1 0,0 0 0,0 0 0,1 0 0,-1-1 0,1 1 0,0 0 0,0-1 0,0 0 0,0 1 0,0-1 0,0-1 0,5 3 0,1 0 0,0 0 0,0-1 0,1 0 0,-1-1 0,1 0 0,-1 0 0,18 0 0,-25-2-14,1 0 0,-1 0 0,1 0 0,-1-1 0,0 1 0,1-1 0,-1 1 0,1-1 0,-1 0 0,0 0 0,0 0 0,1 0 0,-1 0 0,0 0 0,0-1 0,0 1 0,0-1 0,-1 1 1,3-3-1,-1 1-50,-1-1 0,0 1 1,0-1-1,0 0 1,0 0-1,-1 1 1,1-1-1,-1 0 1,0 0-1,0-6 0,1-8-299,-1 0-1,-1 0 1,-1 1-1,-3-20 1,1 15-2795,-10-28 7466,9 34-5971,0 1-4494,2 6 6051,-2 0-1,1 0 0,-1 0 1,-7-11-1,-8-17 8259,18 34-8042,-1 0 0,0 0 0,0 1 0,0-1 0,0 0 0,0 1 0,-1 0 0,1-1 0,-1 1 0,1 0-1,-1 0 1,0 0 0,0 1 0,0-1 0,0 1 0,0-1 0,0 1 0,-1 0 0,1 0 0,-5 0 0,2 0-152,0 0 0,0 0 0,0 1 0,0-1 0,0 2 0,0-1 0,0 1 0,0 0 0,0 0 0,-11 4 0,15-4 42,-1 0 0,1 1 0,0-1 0,0 1 0,0 0 0,0 0 0,0 0 0,0 0 0,0 0 0,0 0 0,1 1 0,0-1 0,-1 0 0,1 1 0,0-1 0,0 1 0,0 0 0,0-1 0,0 1 0,1 0 0,-1-1 0,1 1 0,0 0 0,0 0 0,0-1 0,0 4 0,1 0 0,-1 1 0,1-1 0,0 1 0,0-1 0,1 0 0,0 0 0,0 0 0,0 0 0,1 0 0,3 7 0,-4-10 0,20 25 0,-21-27 0,-1 0 0,0-1 0,0 1 0,1-1 0,-1 1 0,1-1 0,-1 0 0,0 1 0,1-1 0,-1 1 0,1-1 0,-1 0 0,1 1 0,-1-1 0,1 0 0,-1 1 0,1-1 0,0 0 0,-1 0 0,1 0 0,-1 0 0,1 0 0,0 1 0,-1-1 0,1 0 0,-1 0 0,1 0 0,0 0 0,-1-1 0,1 1 0,-1 0 0,1 0 0,0 0 0,-1 0 0,1-1 0,-1 1 0,1 0 0,-1 0 0,1-1 0,-1 1 0,1 0 0,-1-1 0,1 1 0,-1-1 0,0 1 0,1-1 0,0 0 0,3-8 0</inkml:trace>
  <inkml:trace contextRef="#ctx0" brushRef="#br0" timeOffset="2335.28">419 160 8192,'0'33'3500,"2"57"2314,-1-79-5455,0 0 0,1 0 0,1 0 0,0 0 0,7 18 0,-8-26-397,-1 0-1,0 0 0,1-1 1,0 1-1,-1 0 1,1-1-1,0 1 1,0-1-1,1 0 0,-1 0 1,0 0-1,1 0 1,-1 0-1,1-1 1,0 1-1,-1-1 0,1 1 1,0-1-1,0 0 1,0 0-1,0 0 1,0-1-1,0 1 0,0-1 1,0 1-1,1-1 1,-1 0-1,4-1 1,-2 0-25,0 0 1,-1 0 0,1 0 0,0-1 0,-1 1 0,0-1 0,1-1-1,-1 1 1,0 0 0,0-1 0,0 0 0,-1 0 0,1 0-1,-1 0 1,1-1 0,-1 1 0,5-9 0,-4 6-307,0-1-1,0 0 1,-1-1 0,0 1 0,0 0-1,-1-1 1,0 0 0,0 1 0,-1-1-1,0 0 1,-1 0 0,1 0 0,-1 0-1,-1 1 1,1-1 0,-2 0 0,1 0-1,-1 0 1,0 1 0,0-1 0,-1 1-1,0 0 1,-1-1 0,-5-8 0,-21-38 369,21 37 0,1 1 0,-2 0 0,-19-24 0,27 38 216,1 0 1,0 1-1,-1-1 0,0 1 1,1-1-1,-1 1 0,0 0 1,1-1-1,-1 1 1,0 0-1,0 0 0,0 0 1,0 1-1,0-1 1,0 0-1,0 1 0,0-1 1,-1 1-1,1 0 0,0 0 1,0 0-1,0 0 1,0 0-1,-1 0 0,1 0 1,0 1-1,0-1 1,0 1-1,0 0 0,0-1 1,0 1-1,0 0 0,0 0 1,0 0-1,0 1 1,1-1-1,-1 0 0,0 1 1,1-1-1,-1 1 1,1-1-1,0 1 0,-1 0 1,1 0-1,0-1 1,0 1-1,0 0 0,0 0 1,0 0-1,1 0 0,-1 0 1,0 5-1,-2 10-278,2 0 0,0 1 0,0-1 0,2 1-1,0-1 1,1 0 0,1 1 0,9 29 0,-11-45 112,-1 0 0,1-1 0,-1 1 0,1 0 1,0 0-1,0-1 0,0 1 0,0 0 0,0-1 0,0 1 1,0-1-1,3 3 0,-4-4-55,1 0 0,-1 0 1,0 0-1,0 0 0,0 0 1,1 0-1,-1 0 0,0 1 1,0-1-1,1 0 0,-1 0 0,0 0 1,0 0-1,1 0 0,-1-1 1,0 1-1,0 0 0,0 0 1,1 0-1,-1 0 0,0 0 0,0 0 1,1 0-1,-1 0 0,0 0 1,0-1-1,0 1 0,0 0 1,1 0-1,-1 0 0,0 0 1,0-1-1,0 1 0,6-16-487,-3-9-1745,0 0 1677</inkml:trace>
  <inkml:trace contextRef="#ctx0" brushRef="#br0" timeOffset="4861.75">969 46 8192,'-2'0'242,"0"0"1,0 1-1,0-1 0,0 1 1,0-1-1,0 1 1,0 0-1,0 0 1,0-1-1,1 1 0,-1 1 1,0-1-1,0 0 1,1 0-1,-1 1 1,1-1-1,0 0 0,-1 1 1,1 0-1,0-1 1,0 1-1,0 0 1,0-1-1,0 1 0,0 0 1,0 0-1,1 0 1,-1 0-1,1 0 1,-1 0-1,1 4 0,-2 8 642,0 0-1,1 1 0,2 21 1,-1-20-707,0 52-177,3 79 0,-3-138 0,1 0 0,1 0 0,0 0 0,0 0 0,0 0 0,5 10 0,-5-15 0,0 0 0,0 0 0,1-1 0,-1 1 0,1-1 0,-1 0 0,1 0 0,0 1 0,1-2 0,-1 1 0,0 0 0,1-1 0,-1 0 0,1 1 0,4 0 0,1 1-122,0 0 1,0-1-1,0 0 0,1-1 0,-1 0 0,1-1 0,0 0 1,-1 0-1,1-1 0,13-1 0,-19 1-2,0-1-1,0 0 0,0 0 0,0 0 1,0-1-1,0 1 0,0-1 0,-1 0 1,1 0-1,0 0 0,-1-1 0,1 1 1,-1-1-1,0 0 0,0 0 0,0 0 1,-1 0-1,1 0 0,-1-1 0,1 1 1,-1-1-1,0 0 0,0 0 0,-1 0 1,1 0-1,0-5 0,3-14-876,-2 0 0,-1-1 0,0 0 0,-2 0 0,-3-30 0,1-8 247,3 15 2303,0 26 1090,-1 1 0,-4-38 0,3 56-2553,0-1 0,1 1 0,-2-1 0,1 1 0,0-1 0,0 1 0,-1 0 0,1 0 0,-1 0 0,1 0 0,-1 0 0,0 0 0,0 0 0,0 0 1,0 1-1,0-1 0,-1 1 0,1-1 0,0 1 0,-1 0 0,1 0 0,-1 0 0,1 0 0,-1 1 0,1-1 0,-1 1 0,-3-1 0,-9-1-174,-1 1 0,1 0 0,-24 3 0,22-1 33,-114 2 55,121-3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3T10:04:01.02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8192,'1'23'2042,"2"0"1,0 0 0,1-1 0,10 27-1,2 16-787,-3-5-2651,0-5-3640,11 106 0,-27-145 5036,3-16 0,0 0 0,0 0 0,0 0 0,-1 0 0,1 0 0,0 1 0,0-1 0,0 0 0,-1 0 0,1 0 0,0 0 0,0 0 0,0 0 0,-1 0 0,1 0 0,0 0 0,0 0 0,-1 0 0,1 0 0,0 0 0,0 0 0,0-1 0,-1 1 0,1 0 0,0 0 0,0 0 0,0 0 0,-1 0 0,1 0 0,0 0 0,0-1 0,0 1 0,0 0 0,0 0 0,-1-1 0,-1-1 0,0-1 0,0 0 0,0 1 0,0-1 0,0 0 0,1 0 0,-2-4 0,-3-11 0,2-1 0,0 1 0,1-1 0,1 0 0,1-25 0,1 39 0,-2-35 0</inkml:trace>
  <inkml:trace contextRef="#ctx0" brushRef="#br0" timeOffset="2341.07">298 91 8192,'1'7'1050,"0"-1"0,1 0 1,0 0-1,0 0 1,0 0-1,1-1 0,0 1 1,0 0-1,7 8 0,4 10-85,2 10-965,-8-17 0,1 0 0,18 28 0,-24-41 0,0 0 0,1 0 0,-1-1 0,1 1 0,0-1 0,0 0 0,0 1 0,0-2 0,0 1 0,1 0 0,-1-1 0,1 0 0,0 0 0,0-1 0,5 2 0,-5-2 0,0 1 0,1-2 0,-1 1 0,0-1 0,1 0 0,-1 0 0,0 0 0,1-1 0,-1 0 0,9-2 0,-12 2 0,0 0 0,1 0 0,-1-1 0,0 1 0,0-1 0,0 1 0,0-1 0,0 0 0,0 0 0,-1 0 0,1 0 0,0 0 0,-1 0 0,0 0 0,1-1 0,-1 1 0,0 0 0,0-1 0,-1 1 0,1-1 0,0 1 0,-1-1 0,1-3 0,1-4-251,-1 0 0,0 0-1,-1 0 1,0 0 0,0 0-1,-1 0 1,-5-20 0,5 26 192,0-1 1,-1 1-1,0 0 1,0 0-1,0 0 0,-1 0 1,1 0-1,-1 0 1,0 0-1,0 1 1,0 0-1,0-1 1,-1 1-1,1 0 0,-1 0 1,0 1-1,0-1 1,0 1-1,-5-2 1,7 3 88,-17-8-1070,0 1 0,0 0 1,-1 2-1,0 0 1,0 1-1,-1 2 0,-28-3 1,25 7 2570,19-1-821,0 1 0,0-1 0,0 0-1,0 0 1,0 0 0,0 0 0,0-1-1,0 0 1,0 0 0,0-1 0,0 1 0,0-1-1,-8-4 1,3-4-710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36DB-B809-4AF4-9FB5-FED97DB8BC0B}">
  <dimension ref="B5:K59"/>
  <sheetViews>
    <sheetView showGridLines="0" workbookViewId="0">
      <selection activeCell="B23" sqref="B23:J23"/>
    </sheetView>
  </sheetViews>
  <sheetFormatPr defaultRowHeight="14.5" x14ac:dyDescent="0.35"/>
  <cols>
    <col min="1" max="1" width="11.81640625" customWidth="1"/>
    <col min="2" max="2" width="14.1796875" bestFit="1" customWidth="1"/>
    <col min="3" max="3" width="13.26953125" customWidth="1"/>
    <col min="6" max="6" width="19.90625" customWidth="1"/>
    <col min="7" max="7" width="2.36328125" customWidth="1"/>
    <col min="9" max="9" width="20.26953125" customWidth="1"/>
    <col min="10" max="10" width="20.08984375" customWidth="1"/>
  </cols>
  <sheetData>
    <row r="5" spans="2:10" x14ac:dyDescent="0.35">
      <c r="B5" s="9" t="s">
        <v>0</v>
      </c>
      <c r="C5" s="9"/>
      <c r="D5" s="9"/>
      <c r="E5" s="9"/>
      <c r="F5" s="9"/>
      <c r="G5" s="9"/>
      <c r="H5" s="9"/>
      <c r="I5" s="9"/>
      <c r="J5" s="9"/>
    </row>
    <row r="7" spans="2:10" x14ac:dyDescent="0.35">
      <c r="B7" s="2" t="s">
        <v>1</v>
      </c>
    </row>
    <row r="8" spans="2:10" x14ac:dyDescent="0.35">
      <c r="B8" s="2">
        <v>20000</v>
      </c>
      <c r="C8" s="1" t="s">
        <v>2</v>
      </c>
      <c r="D8">
        <f>MAX(B8:B12)</f>
        <v>50000</v>
      </c>
      <c r="F8" s="10" t="s">
        <v>4</v>
      </c>
      <c r="G8" s="10"/>
      <c r="I8" s="10" t="s">
        <v>5</v>
      </c>
      <c r="J8" s="10"/>
    </row>
    <row r="9" spans="2:10" x14ac:dyDescent="0.35">
      <c r="B9" s="2">
        <v>35000</v>
      </c>
      <c r="C9" s="1" t="s">
        <v>3</v>
      </c>
      <c r="D9">
        <f>MIN(B8:B12)</f>
        <v>20000</v>
      </c>
    </row>
    <row r="10" spans="2:10" x14ac:dyDescent="0.35">
      <c r="B10" s="2">
        <v>25000</v>
      </c>
      <c r="F10">
        <f>MAX(B8:B12)-MIN(B8:B12)</f>
        <v>30000</v>
      </c>
      <c r="H10" s="1" t="s">
        <v>6</v>
      </c>
      <c r="I10" s="3">
        <f>(MAX(B8:B12)-MIN(B8:B12))/(MAX(B8:B12)+MIN(B8:B12))</f>
        <v>0.42857142857142855</v>
      </c>
    </row>
    <row r="11" spans="2:10" x14ac:dyDescent="0.35">
      <c r="B11" s="2">
        <v>50000</v>
      </c>
    </row>
    <row r="12" spans="2:10" x14ac:dyDescent="0.35">
      <c r="B12" s="2">
        <v>40000</v>
      </c>
    </row>
    <row r="14" spans="2:10" x14ac:dyDescent="0.35">
      <c r="C14" s="7" t="s">
        <v>22</v>
      </c>
      <c r="E14" s="8" t="s">
        <v>17</v>
      </c>
      <c r="F14" s="8"/>
      <c r="G14" s="8"/>
      <c r="H14" s="8"/>
      <c r="I14" s="8"/>
      <c r="J14" s="8"/>
    </row>
    <row r="15" spans="2:10" x14ac:dyDescent="0.35">
      <c r="E15" s="8" t="s">
        <v>18</v>
      </c>
      <c r="F15" s="8"/>
      <c r="G15" s="8"/>
      <c r="H15" s="8"/>
      <c r="I15" s="8"/>
      <c r="J15" s="8"/>
    </row>
    <row r="16" spans="2:10" x14ac:dyDescent="0.35">
      <c r="E16" s="6"/>
      <c r="F16" s="6"/>
      <c r="G16" s="6"/>
      <c r="H16" s="6"/>
      <c r="I16" s="6"/>
      <c r="J16" s="6"/>
    </row>
    <row r="18" spans="2:11" x14ac:dyDescent="0.35">
      <c r="C18" s="7" t="s">
        <v>23</v>
      </c>
      <c r="E18" s="8" t="s">
        <v>19</v>
      </c>
      <c r="F18" s="8"/>
      <c r="G18" s="8"/>
      <c r="H18" s="8"/>
      <c r="I18" s="8"/>
      <c r="J18" s="8"/>
    </row>
    <row r="19" spans="2:11" x14ac:dyDescent="0.35">
      <c r="E19" s="8" t="s">
        <v>20</v>
      </c>
      <c r="F19" s="8"/>
      <c r="G19" s="8"/>
      <c r="H19" s="8"/>
      <c r="I19" s="8"/>
      <c r="J19" s="8"/>
    </row>
    <row r="20" spans="2:11" x14ac:dyDescent="0.35">
      <c r="E20" s="8" t="s">
        <v>21</v>
      </c>
      <c r="F20" s="8"/>
      <c r="G20" s="8"/>
      <c r="H20" s="8"/>
      <c r="I20" s="8"/>
      <c r="J20" s="8"/>
    </row>
    <row r="21" spans="2:11" x14ac:dyDescent="0.35">
      <c r="E21" s="11"/>
      <c r="F21" s="11"/>
      <c r="G21" s="11"/>
      <c r="H21" s="11"/>
      <c r="I21" s="11"/>
      <c r="J21" s="11"/>
    </row>
    <row r="23" spans="2:11" x14ac:dyDescent="0.35">
      <c r="B23" s="9" t="s">
        <v>7</v>
      </c>
      <c r="C23" s="9"/>
      <c r="D23" s="9"/>
      <c r="E23" s="9"/>
      <c r="F23" s="9"/>
      <c r="G23" s="9"/>
      <c r="H23" s="9"/>
      <c r="I23" s="9"/>
      <c r="J23" s="9"/>
    </row>
    <row r="25" spans="2:11" x14ac:dyDescent="0.35">
      <c r="B25" s="2" t="s">
        <v>9</v>
      </c>
      <c r="C25" s="2" t="s">
        <v>8</v>
      </c>
    </row>
    <row r="26" spans="2:11" x14ac:dyDescent="0.35">
      <c r="B26" s="2">
        <v>5</v>
      </c>
      <c r="C26" s="4">
        <v>3</v>
      </c>
      <c r="D26" s="1" t="s">
        <v>2</v>
      </c>
      <c r="E26">
        <f>MAX(B26:B30)</f>
        <v>25</v>
      </c>
      <c r="F26" s="10" t="s">
        <v>4</v>
      </c>
      <c r="G26" s="10"/>
      <c r="I26" s="10" t="s">
        <v>5</v>
      </c>
      <c r="J26" s="10"/>
    </row>
    <row r="27" spans="2:11" x14ac:dyDescent="0.35">
      <c r="B27" s="2">
        <v>10</v>
      </c>
      <c r="C27" s="4">
        <v>6</v>
      </c>
      <c r="D27" s="1" t="s">
        <v>3</v>
      </c>
      <c r="E27">
        <f>MIN(B26:B30)</f>
        <v>5</v>
      </c>
    </row>
    <row r="28" spans="2:11" x14ac:dyDescent="0.35">
      <c r="B28" s="2">
        <v>15</v>
      </c>
      <c r="C28" s="2">
        <v>8</v>
      </c>
      <c r="E28" s="1" t="s">
        <v>6</v>
      </c>
      <c r="F28">
        <f>MAX(B26:B30)-MIN(B26:B30)</f>
        <v>20</v>
      </c>
      <c r="H28" s="1" t="s">
        <v>6</v>
      </c>
      <c r="I28" s="3">
        <f>(MAX(B26:B30)-MIN(B26:B30))/(MAX(B26:B30)+MIN(B26:B30))</f>
        <v>0.66666666666666663</v>
      </c>
    </row>
    <row r="29" spans="2:11" x14ac:dyDescent="0.35">
      <c r="B29" s="2">
        <v>20</v>
      </c>
      <c r="C29" s="2">
        <v>4</v>
      </c>
    </row>
    <row r="30" spans="2:11" x14ac:dyDescent="0.35">
      <c r="B30" s="2">
        <v>25</v>
      </c>
      <c r="C30" s="2">
        <v>2</v>
      </c>
    </row>
    <row r="32" spans="2:11" x14ac:dyDescent="0.35">
      <c r="F32" s="8" t="s">
        <v>24</v>
      </c>
      <c r="G32" s="8"/>
      <c r="H32" s="8"/>
      <c r="I32" s="8"/>
      <c r="J32" s="8"/>
      <c r="K32" s="8"/>
    </row>
    <row r="33" spans="2:11" x14ac:dyDescent="0.35">
      <c r="F33" s="6"/>
      <c r="G33" s="6"/>
      <c r="H33" s="6"/>
      <c r="I33" s="6"/>
      <c r="J33" s="6"/>
      <c r="K33" s="6"/>
    </row>
    <row r="34" spans="2:11" x14ac:dyDescent="0.35">
      <c r="F34" s="6"/>
      <c r="G34" s="6"/>
      <c r="H34" s="6"/>
      <c r="I34" s="6"/>
      <c r="J34" s="6"/>
      <c r="K34" s="6"/>
    </row>
    <row r="36" spans="2:11" x14ac:dyDescent="0.35">
      <c r="F36" s="8" t="s">
        <v>25</v>
      </c>
      <c r="G36" s="8"/>
      <c r="H36" s="8"/>
      <c r="I36" s="8"/>
      <c r="J36" s="8"/>
      <c r="K36" s="8"/>
    </row>
    <row r="37" spans="2:11" x14ac:dyDescent="0.35">
      <c r="F37" s="8" t="s">
        <v>26</v>
      </c>
      <c r="G37" s="8"/>
      <c r="H37" s="8"/>
      <c r="I37" s="8"/>
      <c r="J37" s="8"/>
      <c r="K37" s="8"/>
    </row>
    <row r="38" spans="2:11" x14ac:dyDescent="0.35">
      <c r="F38" s="8" t="s">
        <v>27</v>
      </c>
      <c r="G38" s="8"/>
      <c r="H38" s="8"/>
      <c r="I38" s="8"/>
      <c r="J38" s="8"/>
      <c r="K38" s="8"/>
    </row>
    <row r="45" spans="2:11" x14ac:dyDescent="0.35">
      <c r="B45" s="9" t="s">
        <v>10</v>
      </c>
      <c r="C45" s="9"/>
      <c r="D45" s="9"/>
      <c r="E45" s="9"/>
      <c r="F45" s="9"/>
      <c r="G45" s="9"/>
      <c r="H45" s="9"/>
      <c r="I45" s="9"/>
      <c r="J45" s="9"/>
    </row>
    <row r="47" spans="2:11" x14ac:dyDescent="0.35">
      <c r="B47" s="2" t="s">
        <v>9</v>
      </c>
      <c r="C47" s="2" t="s">
        <v>8</v>
      </c>
    </row>
    <row r="48" spans="2:11" x14ac:dyDescent="0.35">
      <c r="B48" s="5" t="s">
        <v>11</v>
      </c>
      <c r="C48" s="4">
        <v>3</v>
      </c>
      <c r="D48" s="1" t="s">
        <v>2</v>
      </c>
      <c r="E48">
        <v>12</v>
      </c>
      <c r="F48" s="10" t="s">
        <v>4</v>
      </c>
      <c r="G48" s="10"/>
      <c r="I48" s="10" t="s">
        <v>5</v>
      </c>
      <c r="J48" s="10"/>
    </row>
    <row r="49" spans="2:11" x14ac:dyDescent="0.35">
      <c r="B49" s="5" t="s">
        <v>12</v>
      </c>
      <c r="C49" s="4">
        <v>6</v>
      </c>
      <c r="D49" s="1" t="s">
        <v>3</v>
      </c>
      <c r="E49">
        <v>2</v>
      </c>
    </row>
    <row r="50" spans="2:11" x14ac:dyDescent="0.35">
      <c r="B50" s="5" t="s">
        <v>13</v>
      </c>
      <c r="C50" s="2">
        <v>8</v>
      </c>
      <c r="E50" t="s">
        <v>16</v>
      </c>
      <c r="F50">
        <f>MAX(E48)-MIN(E49)</f>
        <v>10</v>
      </c>
      <c r="H50" s="1" t="s">
        <v>6</v>
      </c>
      <c r="I50" s="3">
        <f>(MAX(E48)-MIN(E49))/(MAX(E48)+MIN(E49))</f>
        <v>0.7142857142857143</v>
      </c>
    </row>
    <row r="51" spans="2:11" x14ac:dyDescent="0.35">
      <c r="B51" s="5" t="s">
        <v>14</v>
      </c>
      <c r="C51" s="2">
        <v>4</v>
      </c>
    </row>
    <row r="52" spans="2:11" x14ac:dyDescent="0.35">
      <c r="B52" s="5" t="s">
        <v>15</v>
      </c>
      <c r="C52" s="2">
        <v>2</v>
      </c>
    </row>
    <row r="54" spans="2:11" x14ac:dyDescent="0.35">
      <c r="F54" s="8" t="s">
        <v>28</v>
      </c>
      <c r="G54" s="8"/>
      <c r="H54" s="8"/>
      <c r="I54" s="8"/>
      <c r="J54" s="8"/>
      <c r="K54" s="8"/>
    </row>
    <row r="57" spans="2:11" x14ac:dyDescent="0.35">
      <c r="F57" s="8" t="s">
        <v>29</v>
      </c>
      <c r="G57" s="8"/>
      <c r="H57" s="8"/>
      <c r="I57" s="8"/>
      <c r="J57" s="8"/>
      <c r="K57" s="8"/>
    </row>
    <row r="58" spans="2:11" x14ac:dyDescent="0.35">
      <c r="F58" s="8" t="s">
        <v>30</v>
      </c>
      <c r="G58" s="8"/>
      <c r="H58" s="8"/>
      <c r="I58" s="8"/>
      <c r="J58" s="8"/>
      <c r="K58" s="8"/>
    </row>
    <row r="59" spans="2:11" x14ac:dyDescent="0.35">
      <c r="F59" s="8" t="s">
        <v>31</v>
      </c>
      <c r="G59" s="8"/>
      <c r="H59" s="8"/>
      <c r="I59" s="8"/>
      <c r="J59" s="8"/>
      <c r="K59" s="8"/>
    </row>
  </sheetData>
  <mergeCells count="23">
    <mergeCell ref="F26:G26"/>
    <mergeCell ref="I26:J26"/>
    <mergeCell ref="E21:J21"/>
    <mergeCell ref="B5:J5"/>
    <mergeCell ref="F8:G8"/>
    <mergeCell ref="I8:J8"/>
    <mergeCell ref="B23:J23"/>
    <mergeCell ref="E14:J14"/>
    <mergeCell ref="E15:J15"/>
    <mergeCell ref="E18:J18"/>
    <mergeCell ref="E19:J19"/>
    <mergeCell ref="E20:J20"/>
    <mergeCell ref="F57:K57"/>
    <mergeCell ref="F58:K58"/>
    <mergeCell ref="F59:K59"/>
    <mergeCell ref="F32:K32"/>
    <mergeCell ref="F36:K36"/>
    <mergeCell ref="F37:K37"/>
    <mergeCell ref="F38:K38"/>
    <mergeCell ref="F54:K54"/>
    <mergeCell ref="B45:J45"/>
    <mergeCell ref="F48:G48"/>
    <mergeCell ref="I48:J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E802-D9EF-41DD-BDF6-AE566051D940}">
  <dimension ref="A5:AC50"/>
  <sheetViews>
    <sheetView tabSelected="1" topLeftCell="H3" zoomScale="77" zoomScaleNormal="130" workbookViewId="0">
      <selection activeCell="AC13" sqref="AC13"/>
    </sheetView>
  </sheetViews>
  <sheetFormatPr defaultRowHeight="14.5" x14ac:dyDescent="0.35"/>
  <cols>
    <col min="4" max="4" width="9.453125" bestFit="1" customWidth="1"/>
    <col min="6" max="6" width="11.26953125" bestFit="1" customWidth="1"/>
    <col min="7" max="7" width="12.08984375" bestFit="1" customWidth="1"/>
    <col min="8" max="8" width="11.08984375" bestFit="1" customWidth="1"/>
    <col min="9" max="9" width="12.7265625" bestFit="1" customWidth="1"/>
    <col min="11" max="11" width="12.453125" customWidth="1"/>
    <col min="20" max="20" width="11.36328125" customWidth="1"/>
    <col min="23" max="23" width="12.1796875" customWidth="1"/>
  </cols>
  <sheetData>
    <row r="5" spans="1:29" ht="21" x14ac:dyDescent="0.5">
      <c r="B5" s="15" t="s">
        <v>32</v>
      </c>
      <c r="C5" s="15"/>
      <c r="D5" s="15"/>
      <c r="E5" s="15"/>
      <c r="F5" s="15"/>
      <c r="G5" s="15"/>
      <c r="H5" s="15"/>
      <c r="I5" s="15"/>
      <c r="J5" s="15"/>
      <c r="K5" s="15"/>
      <c r="S5" s="26" t="s">
        <v>59</v>
      </c>
      <c r="T5" s="26"/>
      <c r="V5" s="26" t="s">
        <v>60</v>
      </c>
      <c r="W5" s="26"/>
    </row>
    <row r="6" spans="1:29" x14ac:dyDescent="0.35">
      <c r="AC6">
        <v>1000</v>
      </c>
    </row>
    <row r="7" spans="1:29" x14ac:dyDescent="0.35">
      <c r="B7" s="16" t="s">
        <v>33</v>
      </c>
      <c r="C7" s="2" t="s">
        <v>35</v>
      </c>
      <c r="D7" s="2" t="s">
        <v>37</v>
      </c>
      <c r="F7" s="14" t="s">
        <v>36</v>
      </c>
      <c r="G7" s="14"/>
      <c r="H7" s="14"/>
      <c r="I7" s="13"/>
      <c r="J7" s="13"/>
      <c r="K7" s="13"/>
      <c r="AC7">
        <v>31.62</v>
      </c>
    </row>
    <row r="8" spans="1:29" x14ac:dyDescent="0.35">
      <c r="B8" s="16">
        <v>100</v>
      </c>
      <c r="C8" s="2">
        <f>B8-$B$13</f>
        <v>-40</v>
      </c>
      <c r="D8" s="2">
        <f>C8*C8</f>
        <v>1600</v>
      </c>
      <c r="I8" s="13"/>
      <c r="J8" s="13"/>
      <c r="K8" s="13"/>
      <c r="AB8">
        <v>1</v>
      </c>
      <c r="AC8">
        <f>AC6+AC7</f>
        <v>1031.6199999999999</v>
      </c>
    </row>
    <row r="9" spans="1:29" x14ac:dyDescent="0.35">
      <c r="B9" s="16">
        <v>120</v>
      </c>
      <c r="C9" s="2">
        <f t="shared" ref="C9:C12" si="0">B9-$B$13</f>
        <v>-20</v>
      </c>
      <c r="D9" s="2">
        <f t="shared" ref="D9:D12" si="1">C9*C9</f>
        <v>400</v>
      </c>
      <c r="I9" s="13"/>
      <c r="J9" s="13"/>
      <c r="K9" s="13"/>
      <c r="AC9">
        <v>31.62</v>
      </c>
    </row>
    <row r="10" spans="1:29" x14ac:dyDescent="0.35">
      <c r="B10" s="16">
        <v>140</v>
      </c>
      <c r="C10" s="2">
        <f t="shared" si="0"/>
        <v>0</v>
      </c>
      <c r="D10" s="2">
        <f t="shared" si="1"/>
        <v>0</v>
      </c>
      <c r="AB10">
        <v>2</v>
      </c>
      <c r="AC10">
        <f>SUM(AC8:AC9)</f>
        <v>1063.2399999999998</v>
      </c>
    </row>
    <row r="11" spans="1:29" x14ac:dyDescent="0.35">
      <c r="B11" s="16">
        <v>160</v>
      </c>
      <c r="C11" s="2">
        <f t="shared" si="0"/>
        <v>20</v>
      </c>
      <c r="D11" s="2">
        <f t="shared" si="1"/>
        <v>400</v>
      </c>
      <c r="AC11">
        <v>31.62</v>
      </c>
    </row>
    <row r="12" spans="1:29" x14ac:dyDescent="0.35">
      <c r="B12" s="16">
        <v>180</v>
      </c>
      <c r="C12" s="2">
        <f t="shared" si="0"/>
        <v>40</v>
      </c>
      <c r="D12" s="2">
        <f t="shared" si="1"/>
        <v>1600</v>
      </c>
      <c r="G12" t="s">
        <v>38</v>
      </c>
      <c r="H12">
        <f>D13/(5-1)</f>
        <v>1000</v>
      </c>
      <c r="AB12">
        <v>3</v>
      </c>
      <c r="AC12">
        <f>AC10+AC11</f>
        <v>1094.8599999999997</v>
      </c>
    </row>
    <row r="13" spans="1:29" x14ac:dyDescent="0.35">
      <c r="A13" s="1" t="s">
        <v>34</v>
      </c>
      <c r="B13">
        <f>AVERAGE(B8:B12)</f>
        <v>140</v>
      </c>
      <c r="D13">
        <f>SUM(D8:D12)</f>
        <v>4000</v>
      </c>
    </row>
    <row r="14" spans="1:29" x14ac:dyDescent="0.35">
      <c r="F14" s="14" t="s">
        <v>39</v>
      </c>
      <c r="G14" s="14"/>
      <c r="H14" s="14"/>
    </row>
    <row r="16" spans="1:29" x14ac:dyDescent="0.35">
      <c r="G16" t="s">
        <v>40</v>
      </c>
      <c r="H16">
        <f>SQRT(H12)</f>
        <v>31.622776601683793</v>
      </c>
    </row>
    <row r="19" spans="1:11" x14ac:dyDescent="0.35"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3" spans="1:11" x14ac:dyDescent="0.35">
      <c r="B23" s="20" t="s">
        <v>49</v>
      </c>
      <c r="C23" s="20"/>
      <c r="D23" s="20"/>
      <c r="E23" s="20"/>
      <c r="F23" s="20"/>
      <c r="G23" s="20"/>
      <c r="H23" s="20"/>
      <c r="I23" s="20"/>
      <c r="J23" s="20"/>
      <c r="K23" s="20"/>
    </row>
    <row r="24" spans="1:11" x14ac:dyDescent="0.35"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1" x14ac:dyDescent="0.35">
      <c r="B25" s="12" t="s">
        <v>41</v>
      </c>
      <c r="C25" s="12" t="s">
        <v>42</v>
      </c>
      <c r="D25" s="12" t="s">
        <v>43</v>
      </c>
      <c r="E25" s="12" t="s">
        <v>45</v>
      </c>
      <c r="F25" s="12" t="s">
        <v>46</v>
      </c>
      <c r="G25" s="12" t="s">
        <v>48</v>
      </c>
    </row>
    <row r="26" spans="1:11" x14ac:dyDescent="0.35">
      <c r="B26" s="12">
        <v>2</v>
      </c>
      <c r="C26" s="12">
        <v>4</v>
      </c>
      <c r="D26" s="12">
        <f>B26*C26</f>
        <v>8</v>
      </c>
      <c r="E26">
        <f>B26-$J$26</f>
        <v>-3.5999999999999996</v>
      </c>
      <c r="F26">
        <f>E26*E26</f>
        <v>12.959999999999997</v>
      </c>
      <c r="G26">
        <f>C26*F26</f>
        <v>51.839999999999989</v>
      </c>
      <c r="I26" s="1" t="s">
        <v>47</v>
      </c>
      <c r="J26" s="1">
        <f>D31/C31</f>
        <v>5.6</v>
      </c>
      <c r="K26" s="1"/>
    </row>
    <row r="27" spans="1:11" x14ac:dyDescent="0.35">
      <c r="B27" s="12">
        <v>4</v>
      </c>
      <c r="C27" s="12">
        <v>6</v>
      </c>
      <c r="D27" s="12">
        <f t="shared" ref="D27:D30" si="2">B27*C27</f>
        <v>24</v>
      </c>
      <c r="E27">
        <f>B27-$J$26</f>
        <v>-1.5999999999999996</v>
      </c>
      <c r="F27">
        <f t="shared" ref="F27:F30" si="3">E27*E27</f>
        <v>2.5599999999999987</v>
      </c>
      <c r="G27">
        <f t="shared" ref="G27:G30" si="4">C27*F27</f>
        <v>15.359999999999992</v>
      </c>
    </row>
    <row r="28" spans="1:11" x14ac:dyDescent="0.35">
      <c r="B28" s="12">
        <v>6</v>
      </c>
      <c r="C28" s="12">
        <v>8</v>
      </c>
      <c r="D28" s="12">
        <f t="shared" si="2"/>
        <v>48</v>
      </c>
      <c r="E28">
        <f>B28-$J$26</f>
        <v>0.40000000000000036</v>
      </c>
      <c r="F28">
        <f t="shared" si="3"/>
        <v>0.16000000000000028</v>
      </c>
      <c r="G28">
        <f t="shared" si="4"/>
        <v>1.2800000000000022</v>
      </c>
      <c r="I28" s="14" t="s">
        <v>36</v>
      </c>
      <c r="J28" s="14"/>
      <c r="K28" s="14"/>
    </row>
    <row r="29" spans="1:11" x14ac:dyDescent="0.35">
      <c r="B29" s="12">
        <v>8</v>
      </c>
      <c r="C29" s="12">
        <v>5</v>
      </c>
      <c r="D29" s="12">
        <f t="shared" si="2"/>
        <v>40</v>
      </c>
      <c r="E29">
        <f>B29-$J$26</f>
        <v>2.4000000000000004</v>
      </c>
      <c r="F29">
        <f t="shared" si="3"/>
        <v>5.7600000000000016</v>
      </c>
      <c r="G29">
        <f t="shared" si="4"/>
        <v>28.800000000000008</v>
      </c>
    </row>
    <row r="30" spans="1:11" x14ac:dyDescent="0.35">
      <c r="B30" s="12">
        <v>10</v>
      </c>
      <c r="C30" s="12">
        <v>2</v>
      </c>
      <c r="D30" s="12">
        <f t="shared" si="2"/>
        <v>20</v>
      </c>
      <c r="E30">
        <f>B30-$J$26</f>
        <v>4.4000000000000004</v>
      </c>
      <c r="F30">
        <f t="shared" si="3"/>
        <v>19.360000000000003</v>
      </c>
      <c r="G30">
        <f t="shared" si="4"/>
        <v>38.720000000000006</v>
      </c>
      <c r="J30" t="s">
        <v>38</v>
      </c>
      <c r="K30" s="18">
        <f>G31/(25-1)</f>
        <v>5.666666666666667</v>
      </c>
    </row>
    <row r="31" spans="1:11" x14ac:dyDescent="0.35">
      <c r="A31" s="1"/>
      <c r="C31" s="1">
        <f>SUM(C26:C30)</f>
        <v>25</v>
      </c>
      <c r="D31" s="12">
        <f>SUM(D26:D30)</f>
        <v>140</v>
      </c>
      <c r="G31">
        <f>SUM(G26:G30)</f>
        <v>136</v>
      </c>
    </row>
    <row r="32" spans="1:11" x14ac:dyDescent="0.35">
      <c r="I32" s="14" t="s">
        <v>39</v>
      </c>
      <c r="J32" s="14"/>
      <c r="K32" s="14"/>
    </row>
    <row r="34" spans="2:13" x14ac:dyDescent="0.35">
      <c r="J34" t="s">
        <v>40</v>
      </c>
      <c r="K34" s="18">
        <f>SQRT(K30)</f>
        <v>2.3804761428476167</v>
      </c>
    </row>
    <row r="40" spans="2:13" x14ac:dyDescent="0.35">
      <c r="B40" s="20" t="s">
        <v>50</v>
      </c>
      <c r="C40" s="20"/>
      <c r="D40" s="20"/>
      <c r="E40" s="20"/>
      <c r="F40" s="20"/>
      <c r="G40" s="20"/>
      <c r="H40" s="20"/>
      <c r="I40" s="20"/>
      <c r="J40" s="20"/>
      <c r="K40" s="20"/>
    </row>
    <row r="41" spans="2:13" x14ac:dyDescent="0.35">
      <c r="B41" s="21" t="s">
        <v>51</v>
      </c>
      <c r="C41" s="21"/>
      <c r="D41" s="23"/>
      <c r="E41" s="24"/>
      <c r="F41" s="24"/>
      <c r="G41" s="24"/>
      <c r="H41" s="24"/>
      <c r="I41" s="25"/>
    </row>
    <row r="42" spans="2:13" x14ac:dyDescent="0.35">
      <c r="B42" s="2" t="s">
        <v>52</v>
      </c>
      <c r="C42" s="2" t="s">
        <v>53</v>
      </c>
      <c r="D42" s="2" t="s">
        <v>42</v>
      </c>
      <c r="E42" s="2" t="s">
        <v>54</v>
      </c>
      <c r="F42" s="2" t="s">
        <v>55</v>
      </c>
      <c r="G42" s="2" t="s">
        <v>56</v>
      </c>
      <c r="H42" s="2" t="s">
        <v>57</v>
      </c>
      <c r="I42" s="2" t="s">
        <v>58</v>
      </c>
      <c r="K42" t="s">
        <v>44</v>
      </c>
      <c r="L42" s="18">
        <f>F48/D48</f>
        <v>6.7142857142857144</v>
      </c>
    </row>
    <row r="43" spans="2:13" x14ac:dyDescent="0.35">
      <c r="B43" s="2">
        <v>2</v>
      </c>
      <c r="C43" s="2">
        <v>4</v>
      </c>
      <c r="D43" s="2">
        <v>5</v>
      </c>
      <c r="E43" s="2">
        <f>(B43+C43)/2</f>
        <v>3</v>
      </c>
      <c r="F43" s="2">
        <f>D43*E43</f>
        <v>15</v>
      </c>
      <c r="G43" s="22">
        <f>E43-$L$42</f>
        <v>-3.7142857142857144</v>
      </c>
      <c r="H43" s="22">
        <f>G43*G43</f>
        <v>13.795918367346939</v>
      </c>
      <c r="I43" s="22">
        <f>D43*H43</f>
        <v>68.979591836734699</v>
      </c>
    </row>
    <row r="44" spans="2:13" x14ac:dyDescent="0.35">
      <c r="B44" s="2">
        <v>4</v>
      </c>
      <c r="C44" s="2">
        <v>6</v>
      </c>
      <c r="D44" s="2">
        <v>8</v>
      </c>
      <c r="E44" s="2">
        <f t="shared" ref="E44:E47" si="5">(B44+C44)/2</f>
        <v>5</v>
      </c>
      <c r="F44" s="2">
        <f t="shared" ref="F44:F47" si="6">D44*E44</f>
        <v>40</v>
      </c>
      <c r="G44" s="22">
        <f t="shared" ref="G44:G47" si="7">E44-$L$42</f>
        <v>-1.7142857142857144</v>
      </c>
      <c r="H44" s="22">
        <f t="shared" ref="H44:H47" si="8">G44*G44</f>
        <v>2.9387755102040822</v>
      </c>
      <c r="I44" s="22">
        <f t="shared" ref="I44:I47" si="9">D44*H44</f>
        <v>23.510204081632658</v>
      </c>
      <c r="K44" s="14" t="s">
        <v>36</v>
      </c>
      <c r="L44" s="14"/>
      <c r="M44" s="14"/>
    </row>
    <row r="45" spans="2:13" x14ac:dyDescent="0.35">
      <c r="B45" s="2">
        <v>6</v>
      </c>
      <c r="C45" s="2">
        <v>8</v>
      </c>
      <c r="D45" s="2">
        <v>12</v>
      </c>
      <c r="E45" s="2">
        <f t="shared" si="5"/>
        <v>7</v>
      </c>
      <c r="F45" s="2">
        <f t="shared" si="6"/>
        <v>84</v>
      </c>
      <c r="G45" s="22">
        <f t="shared" si="7"/>
        <v>0.28571428571428559</v>
      </c>
      <c r="H45" s="22">
        <f t="shared" si="8"/>
        <v>8.1632653061224414E-2</v>
      </c>
      <c r="I45" s="22">
        <f t="shared" si="9"/>
        <v>0.97959183673469297</v>
      </c>
    </row>
    <row r="46" spans="2:13" x14ac:dyDescent="0.35">
      <c r="B46" s="2">
        <v>8</v>
      </c>
      <c r="C46" s="2">
        <v>10</v>
      </c>
      <c r="D46" s="2">
        <v>7</v>
      </c>
      <c r="E46" s="2">
        <f t="shared" si="5"/>
        <v>9</v>
      </c>
      <c r="F46" s="2">
        <f t="shared" si="6"/>
        <v>63</v>
      </c>
      <c r="G46" s="22">
        <f t="shared" si="7"/>
        <v>2.2857142857142856</v>
      </c>
      <c r="H46" s="22">
        <f t="shared" si="8"/>
        <v>5.2244897959183669</v>
      </c>
      <c r="I46" s="22">
        <f t="shared" si="9"/>
        <v>36.571428571428569</v>
      </c>
      <c r="K46" t="s">
        <v>38</v>
      </c>
      <c r="L46" s="18">
        <f>I48/(35-1)</f>
        <v>5.4453781512605035</v>
      </c>
    </row>
    <row r="47" spans="2:13" x14ac:dyDescent="0.35">
      <c r="B47" s="2">
        <v>10</v>
      </c>
      <c r="C47" s="2">
        <v>12</v>
      </c>
      <c r="D47" s="2">
        <v>3</v>
      </c>
      <c r="E47" s="2">
        <f t="shared" si="5"/>
        <v>11</v>
      </c>
      <c r="F47" s="2">
        <f t="shared" si="6"/>
        <v>33</v>
      </c>
      <c r="G47" s="22">
        <f t="shared" si="7"/>
        <v>4.2857142857142856</v>
      </c>
      <c r="H47" s="22">
        <f t="shared" si="8"/>
        <v>18.367346938775508</v>
      </c>
      <c r="I47" s="22">
        <f t="shared" si="9"/>
        <v>55.102040816326522</v>
      </c>
    </row>
    <row r="48" spans="2:13" x14ac:dyDescent="0.35">
      <c r="D48" s="2">
        <f>SUM(D43:D47)</f>
        <v>35</v>
      </c>
      <c r="F48" s="2">
        <f>SUM(F43:F47)</f>
        <v>235</v>
      </c>
      <c r="I48" s="22">
        <f>SUM(I43:I47)</f>
        <v>185.14285714285711</v>
      </c>
      <c r="K48" s="14" t="s">
        <v>39</v>
      </c>
      <c r="L48" s="14"/>
      <c r="M48" s="14"/>
    </row>
    <row r="50" spans="11:12" x14ac:dyDescent="0.35">
      <c r="K50" t="s">
        <v>40</v>
      </c>
      <c r="L50" s="18">
        <f>SQRT(L46)</f>
        <v>2.3335334047877918</v>
      </c>
    </row>
  </sheetData>
  <mergeCells count="14">
    <mergeCell ref="K48:M48"/>
    <mergeCell ref="D41:I41"/>
    <mergeCell ref="S5:T5"/>
    <mergeCell ref="V5:W5"/>
    <mergeCell ref="I28:K28"/>
    <mergeCell ref="I32:K32"/>
    <mergeCell ref="B40:K40"/>
    <mergeCell ref="B41:C41"/>
    <mergeCell ref="K44:M44"/>
    <mergeCell ref="B5:K5"/>
    <mergeCell ref="B23:K23"/>
    <mergeCell ref="F7:H7"/>
    <mergeCell ref="I7:K9"/>
    <mergeCell ref="F14:H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Range</vt:lpstr>
      <vt:lpstr>Std.Deviation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Lalchand Sahu</dc:creator>
  <cp:lastModifiedBy>Lalchand Sahu</cp:lastModifiedBy>
  <dcterms:created xsi:type="dcterms:W3CDTF">2026-07-22T06:08:09Z</dcterms:created>
  <dcterms:modified xsi:type="dcterms:W3CDTF">2026-08-03T10:04:47Z</dcterms:modified>
</cp:coreProperties>
</file>